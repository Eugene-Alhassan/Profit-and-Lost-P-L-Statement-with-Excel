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filterPrivacy="1" codeName="ThisWorkbook" defaultThemeVersion="124226"/>
  <xr:revisionPtr revIDLastSave="0" documentId="13_ncr:1_{F58A0407-065F-4ABC-9323-2166C1A10885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Database'!$B$3:$I$108</definedName>
    <definedName name="_xlchart.v1.0" hidden="1">'Bridge Chart'!$B$4:$B$9</definedName>
    <definedName name="_xlchart.v1.1" hidden="1">'Bridge Chart'!$C$4:$C$9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6" l="1"/>
  <c r="E4" i="26"/>
  <c r="C4" i="26"/>
  <c r="D5" i="26"/>
  <c r="E5" i="26"/>
  <c r="C5" i="26"/>
  <c r="D3" i="26"/>
  <c r="E3" i="26"/>
  <c r="C3" i="26"/>
  <c r="C6" i="28" l="1"/>
  <c r="D6" i="28"/>
  <c r="C7" i="28"/>
  <c r="D7" i="28"/>
  <c r="D5" i="28"/>
  <c r="C5" i="28"/>
  <c r="D4" i="28"/>
  <c r="E4" i="28"/>
  <c r="C4" i="28"/>
  <c r="C3" i="29"/>
  <c r="D7" i="29" l="1"/>
  <c r="C7" i="29"/>
  <c r="C5" i="29"/>
  <c r="D5" i="29"/>
  <c r="C6" i="29"/>
  <c r="D6" i="29"/>
  <c r="D4" i="29"/>
  <c r="C4" i="29"/>
  <c r="D3" i="29"/>
  <c r="E3" i="29"/>
  <c r="C9" i="27" l="1"/>
  <c r="G4" i="21"/>
  <c r="C4" i="21"/>
  <c r="C6" i="10"/>
  <c r="H94" i="10"/>
  <c r="G94" i="10"/>
  <c r="F60" i="10"/>
  <c r="C40" i="21" s="1"/>
  <c r="H5" i="10"/>
  <c r="E5" i="21" s="1"/>
  <c r="H6" i="10"/>
  <c r="H7" i="10"/>
  <c r="H8" i="10"/>
  <c r="H9" i="10"/>
  <c r="H10" i="10"/>
  <c r="E8" i="21" s="1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E14" i="21" s="1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E40" i="21" s="1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E4" i="21" s="1"/>
  <c r="G5" i="10"/>
  <c r="D5" i="21" s="1"/>
  <c r="G6" i="10"/>
  <c r="G7" i="10"/>
  <c r="G8" i="10"/>
  <c r="G9" i="10"/>
  <c r="G10" i="10"/>
  <c r="D8" i="21" s="1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D14" i="21" s="1"/>
  <c r="G14" i="21" s="1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D21" i="21" s="1"/>
  <c r="G56" i="10"/>
  <c r="G57" i="10"/>
  <c r="G58" i="10"/>
  <c r="G59" i="10"/>
  <c r="G60" i="10"/>
  <c r="D40" i="21" s="1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D4" i="21" s="1"/>
  <c r="F5" i="10"/>
  <c r="C5" i="21" s="1"/>
  <c r="F6" i="10"/>
  <c r="F7" i="10"/>
  <c r="F8" i="10"/>
  <c r="F9" i="10"/>
  <c r="F10" i="10"/>
  <c r="C8" i="21" s="1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C12" i="21" s="1"/>
  <c r="F34" i="10"/>
  <c r="F35" i="10"/>
  <c r="F36" i="10"/>
  <c r="F37" i="10"/>
  <c r="F38" i="10"/>
  <c r="F39" i="10"/>
  <c r="C14" i="21" s="1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95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61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61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4" i="10"/>
  <c r="C5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  <c r="H4" i="21" l="1"/>
  <c r="E5" i="28"/>
  <c r="E4" i="29"/>
  <c r="E6" i="28"/>
  <c r="E5" i="29"/>
  <c r="C10" i="21"/>
  <c r="D13" i="21"/>
  <c r="D18" i="21"/>
  <c r="H8" i="21"/>
  <c r="C23" i="21"/>
  <c r="D20" i="21"/>
  <c r="D12" i="21"/>
  <c r="G12" i="21" s="1"/>
  <c r="E23" i="21"/>
  <c r="C21" i="21"/>
  <c r="G21" i="21" s="1"/>
  <c r="E21" i="21"/>
  <c r="H21" i="21" s="1"/>
  <c r="H14" i="21"/>
  <c r="C16" i="21"/>
  <c r="D11" i="21"/>
  <c r="E16" i="21"/>
  <c r="D15" i="21"/>
  <c r="H5" i="21"/>
  <c r="D6" i="21"/>
  <c r="C6" i="21"/>
  <c r="C7" i="21" s="1"/>
  <c r="C9" i="21" s="1"/>
  <c r="E6" i="21"/>
  <c r="E7" i="21" s="1"/>
  <c r="D10" i="21"/>
  <c r="G10" i="21" s="1"/>
  <c r="C13" i="21"/>
  <c r="C18" i="21"/>
  <c r="G8" i="21"/>
  <c r="E10" i="21"/>
  <c r="H10" i="21" s="1"/>
  <c r="E13" i="21"/>
  <c r="E18" i="21"/>
  <c r="C20" i="21"/>
  <c r="D23" i="21"/>
  <c r="G23" i="21" s="1"/>
  <c r="E20" i="21"/>
  <c r="H20" i="21" s="1"/>
  <c r="E12" i="21"/>
  <c r="C11" i="21"/>
  <c r="D16" i="21"/>
  <c r="E11" i="21"/>
  <c r="C15" i="21"/>
  <c r="G5" i="21"/>
  <c r="E15" i="21"/>
  <c r="D7" i="21"/>
  <c r="H6" i="21" l="1"/>
  <c r="E7" i="28"/>
  <c r="E6" i="29"/>
  <c r="H18" i="21"/>
  <c r="H13" i="21"/>
  <c r="G11" i="21"/>
  <c r="H15" i="21"/>
  <c r="D9" i="21"/>
  <c r="G7" i="21"/>
  <c r="H23" i="21"/>
  <c r="G20" i="21"/>
  <c r="E9" i="21"/>
  <c r="H7" i="21"/>
  <c r="H11" i="21"/>
  <c r="G18" i="21"/>
  <c r="C17" i="21"/>
  <c r="C27" i="21"/>
  <c r="G13" i="21"/>
  <c r="G16" i="21"/>
  <c r="G6" i="21"/>
  <c r="H12" i="21"/>
  <c r="G15" i="21"/>
  <c r="H16" i="21"/>
  <c r="E17" i="21" l="1"/>
  <c r="H9" i="21"/>
  <c r="E27" i="21"/>
  <c r="E7" i="29" s="1"/>
  <c r="C19" i="21"/>
  <c r="C28" i="21"/>
  <c r="D17" i="21"/>
  <c r="G9" i="21"/>
  <c r="D27" i="21"/>
  <c r="D19" i="21" l="1"/>
  <c r="G17" i="21"/>
  <c r="D28" i="21"/>
  <c r="C22" i="21"/>
  <c r="C24" i="21" s="1"/>
  <c r="C41" i="21" s="1"/>
  <c r="C29" i="21"/>
  <c r="E19" i="21"/>
  <c r="E28" i="21"/>
  <c r="H17" i="21"/>
  <c r="E22" i="21" l="1"/>
  <c r="E29" i="21"/>
  <c r="H19" i="21"/>
  <c r="D22" i="21"/>
  <c r="D29" i="21"/>
  <c r="G19" i="21"/>
  <c r="D24" i="21" l="1"/>
  <c r="G22" i="21"/>
  <c r="E24" i="21"/>
  <c r="H22" i="21"/>
  <c r="H24" i="21" l="1"/>
  <c r="E41" i="21"/>
  <c r="G24" i="21"/>
  <c r="D41" i="21"/>
</calcChain>
</file>

<file path=xl/sharedStrings.xml><?xml version="1.0" encoding="utf-8"?>
<sst xmlns="http://schemas.openxmlformats.org/spreadsheetml/2006/main" count="976" uniqueCount="258">
  <si>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</si>
  <si>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</si>
  <si>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</si>
  <si>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</si>
  <si>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</si>
  <si>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</si>
  <si>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</si>
  <si>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</si>
  <si>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</si>
  <si>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</si>
  <si>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</si>
  <si>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</si>
  <si>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</si>
  <si>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</si>
  <si>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</si>
  <si>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</si>
  <si>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</si>
  <si>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</si>
  <si>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</si>
  <si>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</si>
  <si>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</si>
  <si>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</si>
  <si>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</si>
  <si>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</si>
  <si>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</si>
  <si>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</si>
  <si>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</si>
  <si>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</si>
  <si>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</si>
  <si>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</si>
  <si>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</si>
  <si>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</si>
  <si>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</si>
  <si>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</si>
  <si>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</si>
  <si>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</si>
  <si>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</si>
  <si>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</si>
  <si>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</si>
  <si>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</si>
  <si>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</si>
  <si>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</si>
  <si>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</si>
  <si>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</si>
  <si>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</si>
  <si>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</si>
  <si>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</si>
  <si>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</si>
  <si>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</si>
  <si>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</si>
  <si>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</si>
  <si>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</si>
  <si>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</si>
  <si>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</si>
  <si>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</si>
  <si>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</si>
  <si>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</si>
  <si>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</si>
  <si>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</si>
  <si>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</si>
  <si>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</si>
  <si>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</si>
  <si>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</si>
  <si>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</si>
  <si>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</si>
  <si>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</si>
  <si>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</si>
  <si>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</si>
  <si>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</si>
  <si>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</si>
  <si>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</si>
  <si>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</si>
  <si>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</si>
  <si>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</si>
  <si>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</si>
  <si>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</si>
  <si>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</si>
  <si>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</si>
  <si>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</si>
  <si>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</si>
  <si>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</si>
  <si>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</si>
  <si>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</si>
  <si>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</si>
  <si>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</si>
  <si>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</si>
  <si>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</si>
  <si>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</si>
  <si>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</si>
  <si>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</si>
  <si>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</si>
  <si>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</si>
  <si>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</si>
  <si>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</si>
  <si>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</si>
  <si>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</si>
  <si>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</si>
  <si>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</si>
  <si>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</si>
  <si>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</si>
  <si>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</si>
  <si>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</si>
  <si>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</si>
  <si>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</si>
  <si>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</si>
  <si>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</si>
  <si>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</si>
  <si>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</si>
  <si>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</si>
  <si>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</si>
  <si>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</si>
  <si>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</si>
  <si>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</si>
  <si>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</si>
  <si>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</si>
  <si>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</si>
  <si>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</si>
  <si>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</si>
  <si>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</si>
  <si>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</si>
  <si>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</si>
  <si>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</si>
  <si>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</si>
  <si>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</si>
  <si>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</si>
  <si>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</si>
  <si>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</si>
  <si>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</si>
  <si>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</si>
  <si>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</si>
  <si>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</si>
  <si>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</si>
  <si>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</si>
  <si>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</si>
  <si>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</si>
  <si>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</si>
  <si>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</si>
  <si>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</si>
  <si>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</si>
  <si>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</si>
  <si>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</si>
  <si>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</si>
  <si>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</si>
  <si>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</si>
  <si>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</si>
  <si>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</si>
  <si>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</si>
  <si>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</si>
  <si>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</si>
  <si>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</si>
  <si>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</si>
  <si>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</si>
  <si>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</si>
  <si>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</si>
  <si>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</si>
  <si>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</si>
  <si>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</si>
  <si>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</si>
  <si>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</si>
  <si>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</si>
  <si>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</si>
  <si>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</si>
  <si>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</si>
  <si>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</si>
  <si>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</si>
  <si>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</si>
  <si>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</si>
  <si>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</si>
  <si>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</si>
  <si>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</si>
  <si>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</si>
  <si>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</si>
  <si>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</si>
  <si>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</si>
  <si>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</si>
  <si>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</si>
  <si>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</si>
  <si>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</si>
  <si>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</si>
  <si>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</si>
  <si>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</si>
  <si>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</si>
  <si>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</si>
  <si>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</si>
  <si>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</si>
  <si>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</si>
  <si>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</si>
  <si>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</si>
  <si>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</si>
  <si>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</si>
  <si>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</si>
  <si>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</si>
  <si>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</si>
  <si>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</si>
  <si>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</si>
  <si>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</si>
  <si>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</si>
  <si>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</si>
  <si>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</si>
  <si>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</si>
  <si>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</si>
  <si>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</si>
  <si>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</si>
  <si>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</si>
  <si>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</si>
  <si>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</si>
  <si>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</si>
  <si>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</si>
  <si>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</si>
  <si>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</si>
  <si>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</si>
  <si>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</si>
  <si>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</si>
  <si>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</si>
  <si>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</si>
  <si>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</si>
  <si>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</si>
  <si>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</si>
  <si>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</si>
  <si>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</si>
  <si>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</si>
  <si>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Mapping</t>
  </si>
  <si>
    <t>Net Sales</t>
  </si>
  <si>
    <t>Other revenue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</si>
  <si>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</si>
  <si>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</si>
  <si>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</si>
  <si>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</si>
  <si>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</si>
  <si>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</si>
  <si>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</si>
  <si>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</si>
  <si>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</si>
  <si>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</si>
  <si>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</si>
  <si>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</si>
  <si>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</si>
  <si>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</si>
  <si>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</si>
  <si>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</si>
  <si>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EUR in minillion</t>
  </si>
  <si>
    <t>EBT</t>
  </si>
  <si>
    <t>Net income</t>
  </si>
  <si>
    <t>Check</t>
  </si>
  <si>
    <t>Var%FY2016-FY2017</t>
  </si>
  <si>
    <t>Var%FY2017-FY2018</t>
  </si>
  <si>
    <t>KPIs</t>
  </si>
  <si>
    <t>GM%</t>
  </si>
  <si>
    <t>EBITDA%</t>
  </si>
  <si>
    <t>EBIT%</t>
  </si>
  <si>
    <t>Bridge Chart</t>
  </si>
  <si>
    <t>Column stacked chart</t>
  </si>
  <si>
    <t>Gross Margin %</t>
  </si>
  <si>
    <t>Doughnut chart</t>
  </si>
  <si>
    <t>Area &amp; Line chart</t>
  </si>
  <si>
    <t>Revenues</t>
  </si>
  <si>
    <t>Charts --&gt;</t>
  </si>
  <si>
    <t>Funtions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</si>
</sst>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#,##0.0"/>
    <numFmt numFmtId="167" formatCode="_(* #,##0.0_);_(* \(#,##0.0\);_(* &quot;-&quot;??_);_(@_)"/>
    <numFmt numFmtId="168" formatCode="0.0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  <charset val="204"/>
    </font>
    <font>
      <b/>
      <sz val="8"/>
      <color rgb="FF002060"/>
      <name val="Arial"/>
      <family val="2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ck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0" fontId="16" fillId="2" borderId="0" xfId="3" applyFont="1" applyFill="1"/>
    <xf numFmtId="49" fontId="1" fillId="2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0" fontId="4" fillId="2" borderId="2" xfId="0" applyFont="1" applyFill="1" applyBorder="1" applyAlignment="1">
      <alignment horizontal="left"/>
    </xf>
    <xf numFmtId="0" fontId="1" fillId="2" borderId="0" xfId="0" applyFont="1" applyFill="1" applyAlignment="1">
      <alignment horizontal="right"/>
    </xf>
    <xf numFmtId="0" fontId="4" fillId="2" borderId="2" xfId="0" applyFont="1" applyFill="1" applyBorder="1" applyAlignment="1">
      <alignment horizontal="right"/>
    </xf>
    <xf numFmtId="0" fontId="0" fillId="2" borderId="0" xfId="0" applyFill="1" applyBorder="1"/>
    <xf numFmtId="0" fontId="4" fillId="2" borderId="3" xfId="0" applyFont="1" applyFill="1" applyBorder="1"/>
    <xf numFmtId="0" fontId="4" fillId="2" borderId="3" xfId="0" applyFont="1" applyFill="1" applyBorder="1" applyAlignment="1">
      <alignment horizontal="right"/>
    </xf>
    <xf numFmtId="0" fontId="1" fillId="2" borderId="0" xfId="0" applyFont="1" applyFill="1" applyBorder="1"/>
    <xf numFmtId="0" fontId="2" fillId="2" borderId="0" xfId="0" applyFont="1" applyFill="1" applyBorder="1"/>
    <xf numFmtId="0" fontId="18" fillId="2" borderId="0" xfId="0" applyFont="1" applyFill="1" applyBorder="1"/>
    <xf numFmtId="0" fontId="1" fillId="2" borderId="5" xfId="0" applyFont="1" applyFill="1" applyBorder="1"/>
    <xf numFmtId="166" fontId="18" fillId="2" borderId="0" xfId="0" applyNumberFormat="1" applyFont="1" applyFill="1" applyBorder="1"/>
    <xf numFmtId="0" fontId="0" fillId="4" borderId="0" xfId="0" applyFill="1" applyBorder="1"/>
    <xf numFmtId="166" fontId="1" fillId="4" borderId="0" xfId="0" applyNumberFormat="1" applyFont="1" applyFill="1" applyAlignment="1">
      <alignment horizontal="right"/>
    </xf>
    <xf numFmtId="166" fontId="0" fillId="4" borderId="0" xfId="0" applyNumberFormat="1" applyFill="1" applyBorder="1"/>
    <xf numFmtId="0" fontId="0" fillId="2" borderId="0" xfId="0" applyFill="1" applyBorder="1" applyAlignment="1">
      <alignment wrapText="1"/>
    </xf>
    <xf numFmtId="0" fontId="19" fillId="2" borderId="0" xfId="0" applyFont="1" applyFill="1"/>
    <xf numFmtId="166" fontId="1" fillId="2" borderId="0" xfId="0" applyNumberFormat="1" applyFont="1" applyFill="1" applyBorder="1"/>
    <xf numFmtId="0" fontId="1" fillId="2" borderId="4" xfId="0" applyFont="1" applyFill="1" applyBorder="1"/>
    <xf numFmtId="166" fontId="1" fillId="2" borderId="4" xfId="0" applyNumberFormat="1" applyFont="1" applyFill="1" applyBorder="1"/>
    <xf numFmtId="0" fontId="8" fillId="3" borderId="4" xfId="0" applyFont="1" applyFill="1" applyBorder="1"/>
    <xf numFmtId="166" fontId="8" fillId="3" borderId="4" xfId="0" applyNumberFormat="1" applyFont="1" applyFill="1" applyBorder="1"/>
    <xf numFmtId="166" fontId="1" fillId="2" borderId="5" xfId="0" applyNumberFormat="1" applyFont="1" applyFill="1" applyBorder="1"/>
    <xf numFmtId="0" fontId="20" fillId="2" borderId="3" xfId="0" applyFont="1" applyFill="1" applyBorder="1" applyAlignment="1">
      <alignment horizontal="right" wrapText="1"/>
    </xf>
    <xf numFmtId="9" fontId="6" fillId="2" borderId="0" xfId="4" applyFont="1" applyFill="1" applyBorder="1"/>
    <xf numFmtId="9" fontId="6" fillId="2" borderId="4" xfId="4" applyFont="1" applyFill="1" applyBorder="1"/>
    <xf numFmtId="9" fontId="7" fillId="3" borderId="4" xfId="4" applyFont="1" applyFill="1" applyBorder="1"/>
    <xf numFmtId="9" fontId="6" fillId="2" borderId="5" xfId="4" applyFont="1" applyFill="1" applyBorder="1"/>
    <xf numFmtId="0" fontId="6" fillId="2" borderId="0" xfId="0" applyFont="1" applyFill="1" applyBorder="1"/>
    <xf numFmtId="0" fontId="21" fillId="2" borderId="0" xfId="0" applyFont="1" applyFill="1"/>
    <xf numFmtId="167" fontId="19" fillId="2" borderId="0" xfId="0" applyNumberFormat="1" applyFont="1" applyFill="1" applyAlignment="1">
      <alignment horizontal="right"/>
    </xf>
    <xf numFmtId="167" fontId="19" fillId="2" borderId="0" xfId="0" applyNumberFormat="1" applyFont="1" applyFill="1"/>
    <xf numFmtId="2" fontId="1" fillId="2" borderId="0" xfId="0" applyNumberFormat="1" applyFont="1" applyFill="1"/>
    <xf numFmtId="168" fontId="1" fillId="2" borderId="0" xfId="0" applyNumberFormat="1" applyFont="1" applyFill="1"/>
    <xf numFmtId="0" fontId="22" fillId="2" borderId="6" xfId="0" applyFont="1" applyFill="1" applyBorder="1"/>
    <xf numFmtId="9" fontId="1" fillId="2" borderId="0" xfId="0" applyNumberFormat="1" applyFont="1" applyFill="1"/>
    <xf numFmtId="0" fontId="1" fillId="2" borderId="6" xfId="0" applyFont="1" applyFill="1" applyBorder="1"/>
    <xf numFmtId="168" fontId="0" fillId="2" borderId="0" xfId="0" applyNumberFormat="1" applyFill="1"/>
    <xf numFmtId="9" fontId="1" fillId="2" borderId="0" xfId="4" applyFont="1" applyFill="1" applyAlignment="1">
      <alignment horizontal="right"/>
    </xf>
    <xf numFmtId="168" fontId="1" fillId="2" borderId="0" xfId="4" applyNumberFormat="1" applyFont="1" applyFill="1" applyAlignment="1">
      <alignment horizontal="right"/>
    </xf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N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FY2016</c:v>
                </c:pt>
                <c:pt idx="1">
                  <c:v>FY2017</c:v>
                </c:pt>
                <c:pt idx="2">
                  <c:v>FY2018</c:v>
                </c:pt>
              </c:strCache>
            </c:strRef>
          </c:cat>
          <c:val>
            <c:numRef>
              <c:f>'2.2 P&amp;L statement'!$C$4:$E$4</c:f>
              <c:numCache>
                <c:formatCode>#,##0.0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F-4E0D-B2C1-DD0958A368FB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Other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N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FY2016</c:v>
                </c:pt>
                <c:pt idx="1">
                  <c:v>FY2017</c:v>
                </c:pt>
                <c:pt idx="2">
                  <c:v>FY2018</c:v>
                </c:pt>
              </c:strCache>
            </c:strRef>
          </c:cat>
          <c:val>
            <c:numRef>
              <c:f>'2.2 P&amp;L statement'!$C$5:$E$5</c:f>
              <c:numCache>
                <c:formatCode>#,##0.0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F-4E0D-B2C1-DD0958A368F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510735200"/>
        <c:axId val="510735616"/>
      </c:barChart>
      <c:catAx>
        <c:axId val="510735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NL"/>
          </a:p>
        </c:txPr>
        <c:crossAx val="510735616"/>
        <c:crosses val="autoZero"/>
        <c:auto val="1"/>
        <c:lblAlgn val="ctr"/>
        <c:lblOffset val="100"/>
        <c:noMultiLvlLbl val="0"/>
      </c:catAx>
      <c:valAx>
        <c:axId val="510735616"/>
        <c:scaling>
          <c:orientation val="minMax"/>
          <c:max val="18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NL"/>
          </a:p>
        </c:txPr>
        <c:crossAx val="510735200"/>
        <c:crosses val="autoZero"/>
        <c:crossBetween val="between"/>
        <c:majorUnit val="3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FY2016-FY2018 Total Revenues and Gross</a:t>
            </a:r>
            <a:r>
              <a:rPr lang="en-US" sz="900" b="1" baseline="0">
                <a:solidFill>
                  <a:srgbClr val="002060"/>
                </a:solidFill>
              </a:rPr>
              <a:t> Margin %</a:t>
            </a:r>
          </a:p>
          <a:p>
            <a:pPr>
              <a:defRPr sz="9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 sz="900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8300847639946652E-2"/>
          <c:y val="1.85186854026853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strRef>
              <c:f>'Stacked column'!$B$4:$B$4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cat>
            <c:strRef>
              <c:f>'Stacked column'!$C$3:$E$3</c:f>
              <c:strCache>
                <c:ptCount val="3"/>
                <c:pt idx="0">
                  <c:v>FY2016</c:v>
                </c:pt>
                <c:pt idx="1">
                  <c:v>FY2017</c:v>
                </c:pt>
                <c:pt idx="2">
                  <c:v>FY2018</c:v>
                </c:pt>
              </c:strCache>
            </c:strRef>
          </c:cat>
          <c:val>
            <c:numRef>
              <c:f>'Stacked column'!$C$4:$E$4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C4-4EDE-99D1-8637D3421008}"/>
            </c:ext>
          </c:extLst>
        </c:ser>
        <c:ser>
          <c:idx val="3"/>
          <c:order val="1"/>
          <c:tx>
            <c:strRef>
              <c:f>'Stacked column'!$B$5:$B$5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cat>
            <c:strRef>
              <c:f>'Stacked column'!$C$3:$E$3</c:f>
              <c:strCache>
                <c:ptCount val="3"/>
                <c:pt idx="0">
                  <c:v>FY2016</c:v>
                </c:pt>
                <c:pt idx="1">
                  <c:v>FY2017</c:v>
                </c:pt>
                <c:pt idx="2">
                  <c:v>FY2018</c:v>
                </c:pt>
              </c:strCache>
            </c:strRef>
          </c:cat>
          <c:val>
            <c:numRef>
              <c:f>'Stacked column'!$C$5:$E$5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C4-4EDE-99D1-8637D3421008}"/>
            </c:ext>
          </c:extLst>
        </c:ser>
        <c:ser>
          <c:idx val="4"/>
          <c:order val="2"/>
          <c:tx>
            <c:strRef>
              <c:f>'Stacked column'!$B$6:$B$6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strRef>
              <c:f>'Stacked column'!$C$3:$E$3</c:f>
              <c:strCache>
                <c:ptCount val="3"/>
                <c:pt idx="0">
                  <c:v>FY2016</c:v>
                </c:pt>
                <c:pt idx="1">
                  <c:v>FY2017</c:v>
                </c:pt>
                <c:pt idx="2">
                  <c:v>FY2018</c:v>
                </c:pt>
              </c:strCache>
            </c:strRef>
          </c:cat>
          <c:val>
            <c:numRef>
              <c:f>'Stacked column'!$C$6:$E$6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C4-4EDE-99D1-8637D3421008}"/>
            </c:ext>
          </c:extLst>
        </c:ser>
        <c:ser>
          <c:idx val="5"/>
          <c:order val="3"/>
          <c:tx>
            <c:strRef>
              <c:f>'Stacked column'!$B$7:$B$7</c:f>
              <c:strCache>
                <c:ptCount val="1"/>
                <c:pt idx="0">
                  <c:v>Gross Margin %</c:v>
                </c:pt>
              </c:strCache>
            </c:strRef>
          </c:tx>
          <c:cat>
            <c:strRef>
              <c:f>'Stacked column'!$C$3:$E$3</c:f>
              <c:strCache>
                <c:ptCount val="3"/>
                <c:pt idx="0">
                  <c:v>FY2016</c:v>
                </c:pt>
                <c:pt idx="1">
                  <c:v>FY2017</c:v>
                </c:pt>
                <c:pt idx="2">
                  <c:v>FY2018</c:v>
                </c:pt>
              </c:strCache>
            </c:strRef>
          </c:cat>
          <c:val>
            <c:numRef>
              <c:f>'Stacked column'!$C$7:$E$7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4C4-4EDE-99D1-8637D3421008}"/>
            </c:ext>
          </c:extLst>
        </c:ser>
        <c:ser>
          <c:idx val="0"/>
          <c:order val="4"/>
          <c:tx>
            <c:strRef>
              <c:f>'Area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'Area chart'!$C$3:$E$3</c:f>
              <c:strCache>
                <c:ptCount val="3"/>
                <c:pt idx="0">
                  <c:v>FY2016</c:v>
                </c:pt>
                <c:pt idx="1">
                  <c:v>FY2017</c:v>
                </c:pt>
                <c:pt idx="2">
                  <c:v>FY2018</c:v>
                </c:pt>
              </c:strCache>
            </c:strRef>
          </c:cat>
          <c:val>
            <c:numRef>
              <c:f>'Area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C4-4EDE-99D1-8637D3421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034255"/>
        <c:axId val="614024271"/>
      </c:areaChart>
      <c:lineChart>
        <c:grouping val="standard"/>
        <c:varyColors val="0"/>
        <c:ser>
          <c:idx val="1"/>
          <c:order val="5"/>
          <c:tx>
            <c:strRef>
              <c:f>'Area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'Area chart'!$C$5:$E$5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4C4-4EDE-99D1-8637D3421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486623"/>
        <c:axId val="608487039"/>
      </c:lineChart>
      <c:catAx>
        <c:axId val="61403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NL"/>
          </a:p>
        </c:txPr>
        <c:crossAx val="614024271"/>
        <c:crosses val="autoZero"/>
        <c:auto val="1"/>
        <c:lblAlgn val="ctr"/>
        <c:lblOffset val="100"/>
        <c:noMultiLvlLbl val="0"/>
      </c:catAx>
      <c:valAx>
        <c:axId val="614024271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NL"/>
          </a:p>
        </c:txPr>
        <c:crossAx val="614034255"/>
        <c:crosses val="autoZero"/>
        <c:crossBetween val="between"/>
      </c:valAx>
      <c:valAx>
        <c:axId val="608487039"/>
        <c:scaling>
          <c:orientation val="minMax"/>
          <c:max val="0.82000000000000006"/>
          <c:min val="0.76000000000000012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NL"/>
          </a:p>
        </c:txPr>
        <c:crossAx val="608486623"/>
        <c:crosses val="max"/>
        <c:crossBetween val="between"/>
        <c:majorUnit val="2.0000000000000004E-2"/>
      </c:valAx>
      <c:catAx>
        <c:axId val="608486623"/>
        <c:scaling>
          <c:orientation val="minMax"/>
        </c:scaling>
        <c:delete val="1"/>
        <c:axPos val="b"/>
        <c:majorTickMark val="out"/>
        <c:minorTickMark val="none"/>
        <c:tickLblPos val="nextTo"/>
        <c:crossAx val="608487039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NL"/>
        </a:p>
      </c:txPr>
    </c:legend>
    <c:plotVisOnly val="1"/>
    <c:dispBlanksAs val="zero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Breakdown of Revenues in FY2018</a:t>
            </a:r>
          </a:p>
        </c:rich>
      </c:tx>
      <c:layout>
        <c:manualLayout>
          <c:xMode val="edge"/>
          <c:yMode val="edge"/>
          <c:x val="5.1262931483650409E-2"/>
          <c:y val="3.2989697862856368E-2"/>
        </c:manualLayout>
      </c:layout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NL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81-43D0-909D-3B28ABB5BE65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181-43D0-909D-3B28ABB5BE65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1-43D0-909D-3B28ABB5BE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'Dougnut chart'!$B$5:$B$7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'Dougnut chart'!$E$5:$E$7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1-43D0-909D-3B28ABB5BE6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NL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FY2016-FY2018 Revenues and Gross</a:t>
            </a:r>
            <a:r>
              <a:rPr lang="en-US" sz="900" b="1" baseline="0">
                <a:solidFill>
                  <a:srgbClr val="002060"/>
                </a:solidFill>
              </a:rPr>
              <a:t> Margin %</a:t>
            </a:r>
          </a:p>
          <a:p>
            <a:pPr>
              <a:defRPr sz="900" b="1">
                <a:solidFill>
                  <a:srgbClr val="002060"/>
                </a:solidFill>
              </a:defRPr>
            </a:pPr>
            <a:endParaRPr lang="en-US" sz="900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3729002624671929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NL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'Area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'Area chart'!$C$3:$E$3</c:f>
              <c:strCache>
                <c:ptCount val="3"/>
                <c:pt idx="0">
                  <c:v>FY2016</c:v>
                </c:pt>
                <c:pt idx="1">
                  <c:v>FY2017</c:v>
                </c:pt>
                <c:pt idx="2">
                  <c:v>FY2018</c:v>
                </c:pt>
              </c:strCache>
            </c:strRef>
          </c:cat>
          <c:val>
            <c:numRef>
              <c:f>'Area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7-48D5-9BC6-2437AD72F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034255"/>
        <c:axId val="614024271"/>
      </c:areaChart>
      <c:lineChart>
        <c:grouping val="standard"/>
        <c:varyColors val="0"/>
        <c:ser>
          <c:idx val="1"/>
          <c:order val="1"/>
          <c:tx>
            <c:strRef>
              <c:f>'Area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'Area chart'!$C$5:$E$5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17-48D5-9BC6-2437AD72F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486623"/>
        <c:axId val="608487039"/>
      </c:lineChart>
      <c:catAx>
        <c:axId val="61403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NL"/>
          </a:p>
        </c:txPr>
        <c:crossAx val="614024271"/>
        <c:crosses val="autoZero"/>
        <c:auto val="1"/>
        <c:lblAlgn val="ctr"/>
        <c:lblOffset val="100"/>
        <c:noMultiLvlLbl val="0"/>
      </c:catAx>
      <c:valAx>
        <c:axId val="614024271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NL"/>
          </a:p>
        </c:txPr>
        <c:crossAx val="614034255"/>
        <c:crosses val="autoZero"/>
        <c:crossBetween val="between"/>
      </c:valAx>
      <c:valAx>
        <c:axId val="608487039"/>
        <c:scaling>
          <c:orientation val="minMax"/>
          <c:max val="0.82000000000000006"/>
          <c:min val="0.76000000000000012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NL"/>
          </a:p>
        </c:txPr>
        <c:crossAx val="608486623"/>
        <c:crosses val="max"/>
        <c:crossBetween val="between"/>
        <c:majorUnit val="2.0000000000000004E-2"/>
      </c:valAx>
      <c:catAx>
        <c:axId val="608486623"/>
        <c:scaling>
          <c:orientation val="minMax"/>
        </c:scaling>
        <c:delete val="1"/>
        <c:axPos val="b"/>
        <c:majorTickMark val="out"/>
        <c:minorTickMark val="none"/>
        <c:tickLblPos val="nextTo"/>
        <c:crossAx val="60848703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N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EBITA Bridge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900" b="1">
              <a:solidFill>
                <a:srgbClr val="002060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US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EBITA Bridge</a:t>
          </a:r>
        </a:p>
      </cx:txPr>
    </cx:title>
    <cx:plotArea>
      <cx:plotAreaRegion>
        <cx:series layoutId="waterfall" uniqueId="{033FEBA6-D857-46CE-9A17-B7988FE0123E}"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900" b="0" i="0">
                    <a:solidFill>
                      <a:srgbClr val="595959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NL" sz="9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</cx:dataLabels>
          <cx:dataId val="0"/>
          <cx:layoutPr>
            <cx:subtotals>
              <cx:idx val="5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NL" sz="9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NL" sz="9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900" b="0" i="0">
              <a:solidFill>
                <a:srgbClr val="595959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endParaRPr lang="en-NL" sz="900">
            <a:latin typeface="Arial" panose="020B0604020202020204" pitchFamily="34" charset="0"/>
            <a:cs typeface="Arial" panose="020B0604020202020204" pitchFamily="34" charset="0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4</xdr:row>
      <xdr:rowOff>85725</xdr:rowOff>
    </xdr:from>
    <xdr:to>
      <xdr:col>17</xdr:col>
      <xdr:colOff>219075</xdr:colOff>
      <xdr:row>15</xdr:row>
      <xdr:rowOff>109536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CA2FAC-3927-2A25-4CAF-B2868502A6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11</xdr:row>
      <xdr:rowOff>171449</xdr:rowOff>
    </xdr:from>
    <xdr:to>
      <xdr:col>4</xdr:col>
      <xdr:colOff>504825</xdr:colOff>
      <xdr:row>23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C22C20-4D6D-03A2-2B52-B65DC5996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12</xdr:row>
      <xdr:rowOff>66675</xdr:rowOff>
    </xdr:from>
    <xdr:to>
      <xdr:col>5</xdr:col>
      <xdr:colOff>404812</xdr:colOff>
      <xdr:row>24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E0CD55-F074-31E4-7D04-FFD8E66464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0.22685</cdr:x>
      <cdr:y>0.4921</cdr:y>
    </cdr:from>
    <cdr:to>
      <cdr:x>0.48143</cdr:x>
      <cdr:y>0.61375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F09122B-130B-AC34-AC20-5389D6AC0B77}"/>
            </a:ext>
          </a:extLst>
        </cdr:cNvPr>
        <cdr:cNvSpPr txBox="1"/>
      </cdr:nvSpPr>
      <cdr:spPr>
        <a:xfrm xmlns:a="http://schemas.openxmlformats.org/drawingml/2006/main">
          <a:off x="727075" y="1136650"/>
          <a:ext cx="815975" cy="280988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€26.3m</a:t>
          </a:r>
          <a:endParaRPr lang="en-NL" sz="900" b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12</xdr:row>
      <xdr:rowOff>147637</xdr:rowOff>
    </xdr:from>
    <xdr:to>
      <xdr:col>7</xdr:col>
      <xdr:colOff>47625</xdr:colOff>
      <xdr:row>27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A812C0-74C5-9028-0C44-F64AA4A3B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12</xdr:row>
      <xdr:rowOff>42862</xdr:rowOff>
    </xdr:from>
    <xdr:to>
      <xdr:col>7</xdr:col>
      <xdr:colOff>123825</xdr:colOff>
      <xdr:row>26</xdr:row>
      <xdr:rowOff>119062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1688B1E2-B250-108F-A26F-8DCBCE8280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" y="233838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tabSelected="1" workbookViewId="0"/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/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7" t="s">
        <v>57</v>
      </c>
    </row>
    <row r="4" spans="2:4" ht="12.75" thickBot="1" x14ac:dyDescent="0.25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x14ac:dyDescent="0.2">
      <c r="B6" s="11">
        <v>2</v>
      </c>
      <c r="C6" s="12" t="s">
        <v>62</v>
      </c>
      <c r="D6" s="12"/>
    </row>
    <row r="7" spans="2:4" x14ac:dyDescent="0.2">
      <c r="B7" s="8">
        <v>3</v>
      </c>
      <c r="C7" s="20" t="s">
        <v>109</v>
      </c>
    </row>
    <row r="8" spans="2:4" x14ac:dyDescent="0.2">
      <c r="B8" s="8">
        <v>4</v>
      </c>
      <c r="C8" s="20" t="s">
        <v>110</v>
      </c>
    </row>
    <row r="9" spans="2:4" x14ac:dyDescent="0.2">
      <c r="B9" s="8">
        <v>5</v>
      </c>
      <c r="C9" s="20" t="s">
        <v>111</v>
      </c>
    </row>
    <row r="10" spans="2:4" x14ac:dyDescent="0.2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x14ac:dyDescent="0.2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/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5">
      <c r="B4" s="6" t="s">
        <v>115</v>
      </c>
      <c r="C4" s="6" t="s">
        <v>99</v>
      </c>
      <c r="D4" s="6" t="s">
        <v>31</v>
      </c>
      <c r="E4" s="6" t="s">
        <v>100</v>
      </c>
      <c r="F4" s="6" t="s">
        <v>101</v>
      </c>
      <c r="G4" s="6" t="s">
        <v>102</v>
      </c>
    </row>
    <row r="5" spans="2:7" x14ac:dyDescent="0.25">
      <c r="B5" s="6" t="s">
        <v>116</v>
      </c>
      <c r="C5" s="6" t="s">
        <v>65</v>
      </c>
      <c r="D5" s="21">
        <v>111111</v>
      </c>
      <c r="E5" s="6" t="s">
        <v>103</v>
      </c>
      <c r="F5" s="16">
        <v>-14500341</v>
      </c>
      <c r="G5" s="17">
        <v>2001110000</v>
      </c>
    </row>
    <row r="6" spans="2:7" x14ac:dyDescent="0.25">
      <c r="B6" s="6" t="s">
        <v>117</v>
      </c>
      <c r="C6" s="6" t="s">
        <v>66</v>
      </c>
      <c r="D6" s="21">
        <v>111111</v>
      </c>
      <c r="E6" s="6" t="s">
        <v>103</v>
      </c>
      <c r="F6" s="16">
        <v>-4794856.1919999998</v>
      </c>
      <c r="G6" s="17">
        <v>2001190000</v>
      </c>
    </row>
    <row r="7" spans="2:7" x14ac:dyDescent="0.25">
      <c r="B7" s="6" t="s">
        <v>118</v>
      </c>
      <c r="C7" s="6" t="s">
        <v>67</v>
      </c>
      <c r="D7" s="21">
        <v>1009</v>
      </c>
      <c r="E7" s="6" t="s">
        <v>35</v>
      </c>
      <c r="F7" s="16">
        <v>-154890.4</v>
      </c>
      <c r="G7" s="17">
        <v>2020000000</v>
      </c>
    </row>
    <row r="8" spans="2:7" x14ac:dyDescent="0.25">
      <c r="B8" s="6" t="s">
        <v>119</v>
      </c>
      <c r="C8" s="6" t="s">
        <v>67</v>
      </c>
      <c r="D8" s="21">
        <v>1007</v>
      </c>
      <c r="E8" s="6" t="s">
        <v>37</v>
      </c>
      <c r="F8" s="16">
        <v>-1180894.0520000001</v>
      </c>
      <c r="G8" s="17">
        <v>2020000000</v>
      </c>
    </row>
    <row r="9" spans="2:7" x14ac:dyDescent="0.25">
      <c r="B9" s="6" t="s">
        <v>120</v>
      </c>
      <c r="C9" s="6" t="s">
        <v>67</v>
      </c>
      <c r="D9" s="21">
        <v>1008</v>
      </c>
      <c r="E9" s="6" t="s">
        <v>39</v>
      </c>
      <c r="F9" s="16">
        <v>-793079.51199999999</v>
      </c>
      <c r="G9" s="17">
        <v>2020000000</v>
      </c>
    </row>
    <row r="10" spans="2:7" x14ac:dyDescent="0.25">
      <c r="B10" s="6" t="s">
        <v>121</v>
      </c>
      <c r="C10" s="6" t="s">
        <v>67</v>
      </c>
      <c r="D10" s="21">
        <v>111101</v>
      </c>
      <c r="E10" s="6" t="s">
        <v>0</v>
      </c>
      <c r="F10" s="16">
        <v>-2277197.6</v>
      </c>
      <c r="G10" s="17">
        <v>2020000000</v>
      </c>
    </row>
    <row r="11" spans="2:7" x14ac:dyDescent="0.25">
      <c r="B11" s="6" t="s">
        <v>122</v>
      </c>
      <c r="C11" s="6" t="s">
        <v>104</v>
      </c>
      <c r="D11" s="21">
        <v>111111</v>
      </c>
      <c r="E11" s="6" t="s">
        <v>103</v>
      </c>
      <c r="F11" s="16">
        <v>4428911.7640000004</v>
      </c>
      <c r="G11" s="17">
        <v>2021900000</v>
      </c>
    </row>
    <row r="12" spans="2:7" x14ac:dyDescent="0.25">
      <c r="B12" s="6" t="s">
        <v>123</v>
      </c>
      <c r="C12" s="6" t="s">
        <v>69</v>
      </c>
      <c r="D12" s="21">
        <v>111111</v>
      </c>
      <c r="E12" s="6" t="s">
        <v>103</v>
      </c>
      <c r="F12" s="16">
        <v>16977.628000000001</v>
      </c>
      <c r="G12" s="17">
        <v>2024080000</v>
      </c>
    </row>
    <row r="13" spans="2:7" x14ac:dyDescent="0.25">
      <c r="B13" s="6" t="s">
        <v>124</v>
      </c>
      <c r="C13" s="6" t="s">
        <v>68</v>
      </c>
      <c r="D13" s="21">
        <v>88</v>
      </c>
      <c r="E13" s="6" t="s">
        <v>32</v>
      </c>
      <c r="F13" s="16">
        <v>2245437.54</v>
      </c>
      <c r="G13" s="17">
        <v>2024090000</v>
      </c>
    </row>
    <row r="14" spans="2:7" x14ac:dyDescent="0.25">
      <c r="B14" s="6" t="s">
        <v>125</v>
      </c>
      <c r="C14" s="6" t="s">
        <v>68</v>
      </c>
      <c r="D14" s="21">
        <v>111111</v>
      </c>
      <c r="E14" s="6" t="s">
        <v>103</v>
      </c>
      <c r="F14" s="16">
        <v>16605.634000000002</v>
      </c>
      <c r="G14" s="17">
        <v>2024090000</v>
      </c>
    </row>
    <row r="15" spans="2:7" x14ac:dyDescent="0.25">
      <c r="B15" s="6" t="s">
        <v>126</v>
      </c>
      <c r="C15" s="6" t="s">
        <v>1</v>
      </c>
      <c r="D15" s="21">
        <v>111111</v>
      </c>
      <c r="E15" s="6" t="s">
        <v>103</v>
      </c>
      <c r="F15" s="16">
        <v>4683394.0460000001</v>
      </c>
      <c r="G15" s="17">
        <v>2041000000</v>
      </c>
    </row>
    <row r="16" spans="2:7" x14ac:dyDescent="0.25">
      <c r="B16" s="6" t="s">
        <v>127</v>
      </c>
      <c r="C16" s="6" t="s">
        <v>70</v>
      </c>
      <c r="D16" s="21">
        <v>111101</v>
      </c>
      <c r="E16" s="6" t="s">
        <v>0</v>
      </c>
      <c r="F16" s="16">
        <v>1143051.5760000001</v>
      </c>
      <c r="G16" s="17">
        <v>2042000000</v>
      </c>
    </row>
    <row r="17" spans="2:7" x14ac:dyDescent="0.25">
      <c r="B17" s="6" t="s">
        <v>128</v>
      </c>
      <c r="C17" s="6" t="s">
        <v>70</v>
      </c>
      <c r="D17" s="21">
        <v>88</v>
      </c>
      <c r="E17" s="6" t="s">
        <v>32</v>
      </c>
      <c r="F17" s="16">
        <v>239379.61800000002</v>
      </c>
      <c r="G17" s="17">
        <v>2042000000</v>
      </c>
    </row>
    <row r="18" spans="2:7" x14ac:dyDescent="0.25">
      <c r="B18" s="6" t="s">
        <v>129</v>
      </c>
      <c r="C18" s="6" t="s">
        <v>71</v>
      </c>
      <c r="D18" s="21">
        <v>111101</v>
      </c>
      <c r="E18" s="6" t="s">
        <v>0</v>
      </c>
      <c r="F18" s="16">
        <v>104913.8</v>
      </c>
      <c r="G18" s="17">
        <v>2045000000</v>
      </c>
    </row>
    <row r="19" spans="2:7" x14ac:dyDescent="0.25">
      <c r="B19" s="6" t="s">
        <v>130</v>
      </c>
      <c r="C19" s="6" t="s">
        <v>72</v>
      </c>
      <c r="D19" s="21">
        <v>111101</v>
      </c>
      <c r="E19" s="6" t="s">
        <v>0</v>
      </c>
      <c r="F19" s="16">
        <v>2003262.2180000001</v>
      </c>
      <c r="G19" s="17">
        <v>2051210000</v>
      </c>
    </row>
    <row r="20" spans="2:7" x14ac:dyDescent="0.25">
      <c r="B20" s="6" t="s">
        <v>131</v>
      </c>
      <c r="C20" s="6" t="s">
        <v>72</v>
      </c>
      <c r="D20" s="21">
        <v>1</v>
      </c>
      <c r="E20" s="6" t="s">
        <v>0</v>
      </c>
      <c r="F20" s="16">
        <v>41981.296000000002</v>
      </c>
      <c r="G20" s="17">
        <v>2051210000</v>
      </c>
    </row>
    <row r="21" spans="2:7" x14ac:dyDescent="0.25">
      <c r="B21" s="6" t="s">
        <v>132</v>
      </c>
      <c r="C21" s="6" t="s">
        <v>73</v>
      </c>
      <c r="D21" s="21" t="s">
        <v>3</v>
      </c>
      <c r="E21" s="6" t="s">
        <v>40</v>
      </c>
      <c r="F21" s="16">
        <v>-2156147.4</v>
      </c>
      <c r="G21" s="17">
        <v>2069010000</v>
      </c>
    </row>
    <row r="22" spans="2:7" x14ac:dyDescent="0.25">
      <c r="B22" s="6" t="s">
        <v>133</v>
      </c>
      <c r="C22" s="6" t="s">
        <v>73</v>
      </c>
      <c r="D22" s="21">
        <v>14</v>
      </c>
      <c r="E22" s="6" t="s">
        <v>41</v>
      </c>
      <c r="F22" s="16">
        <v>-291428.55199999997</v>
      </c>
      <c r="G22" s="17">
        <v>2069010000</v>
      </c>
    </row>
    <row r="23" spans="2:7" x14ac:dyDescent="0.25">
      <c r="B23" s="6" t="s">
        <v>134</v>
      </c>
      <c r="C23" s="6" t="s">
        <v>73</v>
      </c>
      <c r="D23" s="21">
        <v>1037</v>
      </c>
      <c r="E23" s="6" t="s">
        <v>46</v>
      </c>
      <c r="F23" s="16">
        <v>0</v>
      </c>
      <c r="G23" s="17">
        <v>2069010000</v>
      </c>
    </row>
    <row r="24" spans="2:7" x14ac:dyDescent="0.25">
      <c r="B24" s="6" t="s">
        <v>135</v>
      </c>
      <c r="C24" s="6" t="s">
        <v>73</v>
      </c>
      <c r="D24" s="21" t="s">
        <v>4</v>
      </c>
      <c r="E24" s="6" t="s">
        <v>45</v>
      </c>
      <c r="F24" s="16">
        <v>-33736.5</v>
      </c>
      <c r="G24" s="17">
        <v>2069010000</v>
      </c>
    </row>
    <row r="25" spans="2:7" x14ac:dyDescent="0.25">
      <c r="B25" s="6" t="s">
        <v>136</v>
      </c>
      <c r="C25" s="6" t="s">
        <v>73</v>
      </c>
      <c r="D25" s="21">
        <v>1009</v>
      </c>
      <c r="E25" s="6" t="s">
        <v>35</v>
      </c>
      <c r="F25" s="16">
        <v>0</v>
      </c>
      <c r="G25" s="17">
        <v>2069010000</v>
      </c>
    </row>
    <row r="26" spans="2:7" x14ac:dyDescent="0.25">
      <c r="B26" s="6" t="s">
        <v>137</v>
      </c>
      <c r="C26" s="6" t="s">
        <v>73</v>
      </c>
      <c r="D26" s="21">
        <v>1007</v>
      </c>
      <c r="E26" s="6" t="s">
        <v>37</v>
      </c>
      <c r="F26" s="16">
        <v>0</v>
      </c>
      <c r="G26" s="17">
        <v>2069010000</v>
      </c>
    </row>
    <row r="27" spans="2:7" x14ac:dyDescent="0.25">
      <c r="B27" s="6" t="s">
        <v>138</v>
      </c>
      <c r="C27" s="6" t="s">
        <v>73</v>
      </c>
      <c r="D27" s="21">
        <v>1008</v>
      </c>
      <c r="E27" s="6" t="s">
        <v>39</v>
      </c>
      <c r="F27" s="16">
        <v>0</v>
      </c>
      <c r="G27" s="17">
        <v>2069010000</v>
      </c>
    </row>
    <row r="28" spans="2:7" x14ac:dyDescent="0.25">
      <c r="B28" s="6" t="s">
        <v>139</v>
      </c>
      <c r="C28" s="6" t="s">
        <v>73</v>
      </c>
      <c r="D28" s="21">
        <v>1240</v>
      </c>
      <c r="E28" s="6" t="s">
        <v>44</v>
      </c>
      <c r="F28" s="16">
        <v>-199600.4</v>
      </c>
      <c r="G28" s="17">
        <v>2069010000</v>
      </c>
    </row>
    <row r="29" spans="2:7" x14ac:dyDescent="0.25">
      <c r="B29" s="6" t="s">
        <v>140</v>
      </c>
      <c r="C29" s="6" t="s">
        <v>73</v>
      </c>
      <c r="D29" s="21">
        <v>111111</v>
      </c>
      <c r="E29" s="6" t="s">
        <v>103</v>
      </c>
      <c r="F29" s="16">
        <v>-539141.4</v>
      </c>
      <c r="G29" s="17">
        <v>2069010000</v>
      </c>
    </row>
    <row r="30" spans="2:7" x14ac:dyDescent="0.25">
      <c r="B30" s="6" t="s">
        <v>141</v>
      </c>
      <c r="C30" s="6" t="s">
        <v>74</v>
      </c>
      <c r="D30" s="21">
        <v>111111</v>
      </c>
      <c r="E30" s="6" t="s">
        <v>103</v>
      </c>
      <c r="F30" s="16">
        <v>-57.221999999999994</v>
      </c>
      <c r="G30" s="17">
        <v>2069980000</v>
      </c>
    </row>
    <row r="31" spans="2:7" x14ac:dyDescent="0.25">
      <c r="B31" s="6" t="s">
        <v>142</v>
      </c>
      <c r="C31" s="6" t="s">
        <v>75</v>
      </c>
      <c r="D31" s="21">
        <v>111111</v>
      </c>
      <c r="E31" s="6" t="s">
        <v>103</v>
      </c>
      <c r="F31" s="16">
        <v>22314.879999999997</v>
      </c>
      <c r="G31" s="17">
        <v>2070400000</v>
      </c>
    </row>
    <row r="32" spans="2:7" x14ac:dyDescent="0.25">
      <c r="B32" s="6" t="s">
        <v>143</v>
      </c>
      <c r="C32" s="6" t="s">
        <v>76</v>
      </c>
      <c r="D32" s="21">
        <v>88</v>
      </c>
      <c r="E32" s="6" t="s">
        <v>32</v>
      </c>
      <c r="F32" s="16">
        <v>204000</v>
      </c>
      <c r="G32" s="17">
        <v>2070500000</v>
      </c>
    </row>
    <row r="33" spans="2:7" x14ac:dyDescent="0.25">
      <c r="B33" s="6" t="s">
        <v>144</v>
      </c>
      <c r="C33" s="6" t="s">
        <v>76</v>
      </c>
      <c r="D33" s="21">
        <v>111111</v>
      </c>
      <c r="E33" s="6" t="s">
        <v>103</v>
      </c>
      <c r="F33" s="16">
        <v>138.41399999999999</v>
      </c>
      <c r="G33" s="17">
        <v>2070500000</v>
      </c>
    </row>
    <row r="34" spans="2:7" x14ac:dyDescent="0.25">
      <c r="B34" s="6" t="s">
        <v>145</v>
      </c>
      <c r="C34" s="6" t="s">
        <v>77</v>
      </c>
      <c r="D34" s="21">
        <v>111111</v>
      </c>
      <c r="E34" s="6" t="s">
        <v>103</v>
      </c>
      <c r="F34" s="16">
        <v>1127445.872</v>
      </c>
      <c r="G34" s="17">
        <v>2070600000</v>
      </c>
    </row>
    <row r="35" spans="2:7" x14ac:dyDescent="0.25">
      <c r="B35" s="6" t="s">
        <v>146</v>
      </c>
      <c r="C35" s="6" t="s">
        <v>78</v>
      </c>
      <c r="D35" s="21" t="s">
        <v>5</v>
      </c>
      <c r="E35" s="6" t="s">
        <v>42</v>
      </c>
      <c r="F35" s="16">
        <v>133722</v>
      </c>
      <c r="G35" s="17">
        <v>2070900000</v>
      </c>
    </row>
    <row r="36" spans="2:7" x14ac:dyDescent="0.25">
      <c r="B36" s="6" t="s">
        <v>147</v>
      </c>
      <c r="C36" s="6" t="s">
        <v>78</v>
      </c>
      <c r="D36" s="21" t="s">
        <v>6</v>
      </c>
      <c r="E36" s="6" t="s">
        <v>43</v>
      </c>
      <c r="F36" s="16">
        <v>328061.886</v>
      </c>
      <c r="G36" s="17">
        <v>2070900000</v>
      </c>
    </row>
    <row r="37" spans="2:7" x14ac:dyDescent="0.25">
      <c r="B37" s="6" t="s">
        <v>148</v>
      </c>
      <c r="C37" s="6" t="s">
        <v>78</v>
      </c>
      <c r="D37" s="21">
        <v>111111</v>
      </c>
      <c r="E37" s="6" t="s">
        <v>103</v>
      </c>
      <c r="F37" s="16">
        <v>2081304.3219999997</v>
      </c>
      <c r="G37" s="17">
        <v>2070900000</v>
      </c>
    </row>
    <row r="38" spans="2:7" x14ac:dyDescent="0.25">
      <c r="B38" s="6" t="s">
        <v>149</v>
      </c>
      <c r="C38" s="6" t="s">
        <v>7</v>
      </c>
      <c r="D38" s="21">
        <v>111111</v>
      </c>
      <c r="E38" s="6" t="s">
        <v>103</v>
      </c>
      <c r="F38" s="16">
        <v>33410.031999999999</v>
      </c>
      <c r="G38" s="17">
        <v>2071000000</v>
      </c>
    </row>
    <row r="39" spans="2:7" x14ac:dyDescent="0.25">
      <c r="B39" s="6" t="s">
        <v>150</v>
      </c>
      <c r="C39" s="6" t="s">
        <v>79</v>
      </c>
      <c r="D39" s="21">
        <v>111111</v>
      </c>
      <c r="E39" s="6" t="s">
        <v>103</v>
      </c>
      <c r="F39" s="16">
        <v>213090.85199999998</v>
      </c>
      <c r="G39" s="17">
        <v>2071100000</v>
      </c>
    </row>
    <row r="40" spans="2:7" x14ac:dyDescent="0.25">
      <c r="B40" s="6" t="s">
        <v>151</v>
      </c>
      <c r="C40" s="6" t="s">
        <v>8</v>
      </c>
      <c r="D40" s="21">
        <v>111111</v>
      </c>
      <c r="E40" s="6" t="s">
        <v>103</v>
      </c>
      <c r="F40" s="16">
        <v>1813525.004</v>
      </c>
      <c r="G40" s="17">
        <v>2071209200</v>
      </c>
    </row>
    <row r="41" spans="2:7" x14ac:dyDescent="0.25">
      <c r="B41" s="6" t="s">
        <v>152</v>
      </c>
      <c r="C41" s="6" t="s">
        <v>80</v>
      </c>
      <c r="D41" s="21">
        <v>111111</v>
      </c>
      <c r="E41" s="6" t="s">
        <v>103</v>
      </c>
      <c r="F41" s="16">
        <v>5552.2</v>
      </c>
      <c r="G41" s="17">
        <v>2071209400</v>
      </c>
    </row>
    <row r="42" spans="2:7" x14ac:dyDescent="0.25">
      <c r="B42" s="6" t="s">
        <v>153</v>
      </c>
      <c r="C42" s="6" t="s">
        <v>81</v>
      </c>
      <c r="D42" s="21">
        <v>111111</v>
      </c>
      <c r="E42" s="6" t="s">
        <v>103</v>
      </c>
      <c r="F42" s="16">
        <v>43868.975999999995</v>
      </c>
      <c r="G42" s="17">
        <v>2071209500</v>
      </c>
    </row>
    <row r="43" spans="2:7" x14ac:dyDescent="0.25">
      <c r="B43" s="6" t="s">
        <v>154</v>
      </c>
      <c r="C43" s="6" t="s">
        <v>82</v>
      </c>
      <c r="D43" s="21">
        <v>111101</v>
      </c>
      <c r="E43" s="6" t="s">
        <v>0</v>
      </c>
      <c r="F43" s="16">
        <v>10934.671999999999</v>
      </c>
      <c r="G43" s="17">
        <v>2071980000</v>
      </c>
    </row>
    <row r="44" spans="2:7" x14ac:dyDescent="0.25">
      <c r="B44" s="6" t="s">
        <v>155</v>
      </c>
      <c r="C44" s="6" t="s">
        <v>83</v>
      </c>
      <c r="D44" s="21">
        <v>111111</v>
      </c>
      <c r="E44" s="6" t="s">
        <v>103</v>
      </c>
      <c r="F44" s="16">
        <v>20400</v>
      </c>
      <c r="G44" s="17">
        <v>2079022000</v>
      </c>
    </row>
    <row r="45" spans="2:7" x14ac:dyDescent="0.25">
      <c r="B45" s="6" t="s">
        <v>156</v>
      </c>
      <c r="C45" s="6" t="s">
        <v>84</v>
      </c>
      <c r="D45" s="21">
        <v>105</v>
      </c>
      <c r="E45" s="6" t="s">
        <v>33</v>
      </c>
      <c r="F45" s="16">
        <v>0</v>
      </c>
      <c r="G45" s="17">
        <v>2079070000</v>
      </c>
    </row>
    <row r="46" spans="2:7" x14ac:dyDescent="0.25">
      <c r="B46" s="6" t="s">
        <v>157</v>
      </c>
      <c r="C46" s="6" t="s">
        <v>84</v>
      </c>
      <c r="D46" s="21">
        <v>111111</v>
      </c>
      <c r="E46" s="6" t="s">
        <v>103</v>
      </c>
      <c r="F46" s="16">
        <v>563918.152</v>
      </c>
      <c r="G46" s="17">
        <v>2079070000</v>
      </c>
    </row>
    <row r="47" spans="2:7" x14ac:dyDescent="0.25">
      <c r="B47" s="6" t="s">
        <v>158</v>
      </c>
      <c r="C47" s="6" t="s">
        <v>85</v>
      </c>
      <c r="D47" s="21">
        <v>1009</v>
      </c>
      <c r="E47" s="6" t="s">
        <v>35</v>
      </c>
      <c r="F47" s="16">
        <v>0</v>
      </c>
      <c r="G47" s="17">
        <v>2079080000</v>
      </c>
    </row>
    <row r="48" spans="2:7" x14ac:dyDescent="0.25">
      <c r="B48" s="6" t="s">
        <v>159</v>
      </c>
      <c r="C48" s="6" t="s">
        <v>85</v>
      </c>
      <c r="D48" s="21">
        <v>1007</v>
      </c>
      <c r="E48" s="6" t="s">
        <v>37</v>
      </c>
      <c r="F48" s="16">
        <v>0</v>
      </c>
      <c r="G48" s="17">
        <v>2079080000</v>
      </c>
    </row>
    <row r="49" spans="2:7" x14ac:dyDescent="0.25">
      <c r="B49" s="6" t="s">
        <v>160</v>
      </c>
      <c r="C49" s="6" t="s">
        <v>85</v>
      </c>
      <c r="D49" s="21">
        <v>1008</v>
      </c>
      <c r="E49" s="6" t="s">
        <v>39</v>
      </c>
      <c r="F49" s="16">
        <v>0</v>
      </c>
      <c r="G49" s="17">
        <v>2079080000</v>
      </c>
    </row>
    <row r="50" spans="2:7" x14ac:dyDescent="0.25">
      <c r="B50" s="6" t="s">
        <v>161</v>
      </c>
      <c r="C50" s="6" t="s">
        <v>86</v>
      </c>
      <c r="D50" s="21">
        <v>1009</v>
      </c>
      <c r="E50" s="6" t="s">
        <v>35</v>
      </c>
      <c r="F50" s="16">
        <v>0</v>
      </c>
      <c r="G50" s="17">
        <v>2082280000</v>
      </c>
    </row>
    <row r="51" spans="2:7" x14ac:dyDescent="0.25">
      <c r="B51" s="6" t="s">
        <v>162</v>
      </c>
      <c r="C51" s="6" t="s">
        <v>86</v>
      </c>
      <c r="D51" s="21">
        <v>1007</v>
      </c>
      <c r="E51" s="6" t="s">
        <v>37</v>
      </c>
      <c r="F51" s="16">
        <v>0</v>
      </c>
      <c r="G51" s="17">
        <v>2082280000</v>
      </c>
    </row>
    <row r="52" spans="2:7" x14ac:dyDescent="0.25">
      <c r="B52" s="6" t="s">
        <v>163</v>
      </c>
      <c r="C52" s="6" t="s">
        <v>86</v>
      </c>
      <c r="D52" s="21">
        <v>1008</v>
      </c>
      <c r="E52" s="6" t="s">
        <v>39</v>
      </c>
      <c r="F52" s="16">
        <v>0</v>
      </c>
      <c r="G52" s="17">
        <v>2082280000</v>
      </c>
    </row>
    <row r="53" spans="2:7" x14ac:dyDescent="0.25">
      <c r="B53" s="6" t="s">
        <v>164</v>
      </c>
      <c r="C53" s="6" t="s">
        <v>86</v>
      </c>
      <c r="D53" s="21">
        <v>1240</v>
      </c>
      <c r="E53" s="6" t="s">
        <v>44</v>
      </c>
      <c r="F53" s="16">
        <v>-35810.228000000003</v>
      </c>
      <c r="G53" s="17">
        <v>2082280000</v>
      </c>
    </row>
    <row r="54" spans="2:7" x14ac:dyDescent="0.25">
      <c r="B54" s="6" t="s">
        <v>165</v>
      </c>
      <c r="C54" s="6" t="s">
        <v>86</v>
      </c>
      <c r="D54" s="21">
        <v>111111</v>
      </c>
      <c r="E54" s="6" t="s">
        <v>103</v>
      </c>
      <c r="F54" s="16">
        <v>-51927.417999999998</v>
      </c>
      <c r="G54" s="17">
        <v>2082280000</v>
      </c>
    </row>
    <row r="55" spans="2:7" x14ac:dyDescent="0.25">
      <c r="B55" s="6" t="s">
        <v>166</v>
      </c>
      <c r="C55" s="6" t="s">
        <v>9</v>
      </c>
      <c r="D55" s="21">
        <v>111101</v>
      </c>
      <c r="E55" s="6" t="s">
        <v>0</v>
      </c>
      <c r="F55" s="16">
        <v>-862270.63399999996</v>
      </c>
      <c r="G55" s="17">
        <v>2082202000</v>
      </c>
    </row>
    <row r="56" spans="2:7" x14ac:dyDescent="0.25">
      <c r="B56" s="6" t="s">
        <v>167</v>
      </c>
      <c r="C56" s="6" t="s">
        <v>87</v>
      </c>
      <c r="D56" s="21">
        <v>111101</v>
      </c>
      <c r="E56" s="6" t="s">
        <v>0</v>
      </c>
      <c r="F56" s="16">
        <v>22763</v>
      </c>
      <c r="G56" s="17">
        <v>2082208200</v>
      </c>
    </row>
    <row r="57" spans="2:7" x14ac:dyDescent="0.25">
      <c r="B57" s="6" t="s">
        <v>168</v>
      </c>
      <c r="C57" s="6" t="s">
        <v>88</v>
      </c>
      <c r="D57" s="21">
        <v>88</v>
      </c>
      <c r="E57" s="6" t="s">
        <v>32</v>
      </c>
      <c r="F57" s="16">
        <v>2930430.0120000001</v>
      </c>
      <c r="G57" s="17">
        <v>2082214000</v>
      </c>
    </row>
    <row r="58" spans="2:7" x14ac:dyDescent="0.25">
      <c r="B58" s="6" t="s">
        <v>169</v>
      </c>
      <c r="C58" s="6" t="s">
        <v>89</v>
      </c>
      <c r="D58" s="21">
        <v>111101</v>
      </c>
      <c r="E58" s="6" t="s">
        <v>0</v>
      </c>
      <c r="F58" s="16">
        <v>-49378.641999999993</v>
      </c>
      <c r="G58" s="17">
        <v>2091200000</v>
      </c>
    </row>
    <row r="59" spans="2:7" x14ac:dyDescent="0.25">
      <c r="B59" s="6" t="s">
        <v>170</v>
      </c>
      <c r="C59" s="6" t="s">
        <v>90</v>
      </c>
      <c r="D59" s="21">
        <v>111101</v>
      </c>
      <c r="E59" s="6" t="s">
        <v>0</v>
      </c>
      <c r="F59" s="16">
        <v>516250.67</v>
      </c>
      <c r="G59" s="17">
        <v>2091200001</v>
      </c>
    </row>
    <row r="60" spans="2:7" x14ac:dyDescent="0.25">
      <c r="B60" s="6" t="s">
        <v>171</v>
      </c>
      <c r="C60" s="6" t="s">
        <v>91</v>
      </c>
      <c r="D60" s="21">
        <v>111101</v>
      </c>
      <c r="E60" s="6" t="s">
        <v>0</v>
      </c>
      <c r="F60" s="16">
        <v>21593.093999999997</v>
      </c>
      <c r="G60" s="17">
        <v>2092200000</v>
      </c>
    </row>
    <row r="61" spans="2:7" x14ac:dyDescent="0.25">
      <c r="B61" s="6" t="s">
        <v>172</v>
      </c>
      <c r="C61" s="18" t="s">
        <v>64</v>
      </c>
      <c r="D61" s="22">
        <v>111101</v>
      </c>
      <c r="E61" s="18" t="s">
        <v>0</v>
      </c>
      <c r="F61" s="19">
        <v>-2904117.9939999986</v>
      </c>
      <c r="G61" s="23">
        <v>2999999999</v>
      </c>
    </row>
    <row r="62" spans="2:7" x14ac:dyDescent="0.25">
      <c r="D62" s="6"/>
      <c r="G62" s="5"/>
    </row>
    <row r="63" spans="2:7" x14ac:dyDescent="0.25">
      <c r="D63" s="6"/>
      <c r="G63" s="5"/>
    </row>
    <row r="64" spans="2:7" x14ac:dyDescent="0.25">
      <c r="D64" s="6"/>
      <c r="G64" s="5"/>
    </row>
    <row r="65" spans="4:7" x14ac:dyDescent="0.25">
      <c r="D65" s="6"/>
      <c r="G65" s="5"/>
    </row>
    <row r="66" spans="4:7" x14ac:dyDescent="0.25">
      <c r="D66" s="6"/>
      <c r="G66" s="5"/>
    </row>
    <row r="67" spans="4:7" x14ac:dyDescent="0.25">
      <c r="D67" s="6"/>
      <c r="G67" s="5"/>
    </row>
    <row r="68" spans="4:7" x14ac:dyDescent="0.25">
      <c r="D68" s="6"/>
      <c r="G68" s="5"/>
    </row>
    <row r="69" spans="4:7" x14ac:dyDescent="0.25">
      <c r="D69" s="6"/>
      <c r="G69" s="5"/>
    </row>
    <row r="70" spans="4:7" x14ac:dyDescent="0.25">
      <c r="D70" s="6"/>
      <c r="G70" s="5"/>
    </row>
    <row r="71" spans="4:7" x14ac:dyDescent="0.25">
      <c r="D71" s="6"/>
      <c r="G71" s="5"/>
    </row>
    <row r="72" spans="4:7" x14ac:dyDescent="0.25">
      <c r="D72" s="6"/>
      <c r="G72" s="5"/>
    </row>
    <row r="73" spans="4:7" x14ac:dyDescent="0.25">
      <c r="D73" s="6"/>
      <c r="G73" s="5"/>
    </row>
    <row r="74" spans="4:7" x14ac:dyDescent="0.25">
      <c r="D74" s="6"/>
      <c r="G74" s="5"/>
    </row>
    <row r="75" spans="4:7" x14ac:dyDescent="0.25">
      <c r="D75" s="6"/>
      <c r="G75" s="5"/>
    </row>
    <row r="76" spans="4:7" x14ac:dyDescent="0.25">
      <c r="D76" s="6"/>
      <c r="G76" s="5"/>
    </row>
    <row r="77" spans="4:7" x14ac:dyDescent="0.25">
      <c r="D77" s="6"/>
      <c r="G77" s="5"/>
    </row>
    <row r="78" spans="4:7" x14ac:dyDescent="0.25">
      <c r="D78" s="6"/>
      <c r="G78" s="5"/>
    </row>
    <row r="79" spans="4:7" x14ac:dyDescent="0.25">
      <c r="D79" s="6"/>
      <c r="G79" s="5"/>
    </row>
    <row r="80" spans="4:7" x14ac:dyDescent="0.25">
      <c r="D80" s="6"/>
      <c r="G80" s="5"/>
    </row>
    <row r="81" spans="4:7" x14ac:dyDescent="0.25">
      <c r="D81" s="6"/>
      <c r="G81" s="5"/>
    </row>
    <row r="82" spans="4:7" x14ac:dyDescent="0.25">
      <c r="D82" s="6"/>
      <c r="G82" s="5"/>
    </row>
    <row r="83" spans="4:7" x14ac:dyDescent="0.25">
      <c r="D83" s="6"/>
      <c r="G83" s="5"/>
    </row>
    <row r="84" spans="4:7" x14ac:dyDescent="0.25">
      <c r="D84" s="6"/>
      <c r="G84" s="5"/>
    </row>
    <row r="85" spans="4:7" x14ac:dyDescent="0.25">
      <c r="D85" s="6"/>
      <c r="G85" s="5"/>
    </row>
    <row r="86" spans="4:7" x14ac:dyDescent="0.25">
      <c r="D86" s="6"/>
      <c r="G86" s="5"/>
    </row>
    <row r="87" spans="4:7" x14ac:dyDescent="0.25">
      <c r="D87" s="6"/>
      <c r="G87" s="5"/>
    </row>
    <row r="88" spans="4:7" x14ac:dyDescent="0.25">
      <c r="D88" s="6"/>
      <c r="G88" s="5"/>
    </row>
    <row r="89" spans="4:7" x14ac:dyDescent="0.25">
      <c r="D89" s="6"/>
      <c r="G89" s="5"/>
    </row>
    <row r="90" spans="4:7" x14ac:dyDescent="0.25">
      <c r="D90" s="6"/>
      <c r="G90" s="5"/>
    </row>
    <row r="91" spans="4:7" x14ac:dyDescent="0.25">
      <c r="D91" s="6"/>
      <c r="G91" s="5"/>
    </row>
    <row r="92" spans="4:7" x14ac:dyDescent="0.25">
      <c r="D92" s="6"/>
      <c r="G92" s="5"/>
    </row>
    <row r="93" spans="4:7" x14ac:dyDescent="0.25">
      <c r="D93" s="6"/>
      <c r="G93" s="5"/>
    </row>
    <row r="94" spans="4:7" x14ac:dyDescent="0.25">
      <c r="D94" s="6"/>
      <c r="G94" s="5"/>
    </row>
    <row r="95" spans="4:7" x14ac:dyDescent="0.25">
      <c r="D95" s="6"/>
      <c r="G95" s="5"/>
    </row>
    <row r="96" spans="4:7" x14ac:dyDescent="0.25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9"/>
  <sheetViews>
    <sheetView workbookViewId="0"/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113</v>
      </c>
    </row>
    <row r="4" spans="2:7" x14ac:dyDescent="0.25">
      <c r="B4" s="2" t="s">
        <v>115</v>
      </c>
      <c r="C4" s="6" t="s">
        <v>99</v>
      </c>
      <c r="D4" s="6" t="s">
        <v>31</v>
      </c>
      <c r="E4" s="6" t="s">
        <v>100</v>
      </c>
      <c r="F4" s="6" t="s">
        <v>101</v>
      </c>
      <c r="G4" s="6" t="s">
        <v>102</v>
      </c>
    </row>
    <row r="5" spans="2:7" x14ac:dyDescent="0.25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5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5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5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5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5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5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5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5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5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5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5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5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5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5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5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5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5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5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5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5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5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5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5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5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5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5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5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5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5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5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5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5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5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5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5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5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5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5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5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5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5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5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5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5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5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5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5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5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5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5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5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5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5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5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5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5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5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5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5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5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5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5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5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5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5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5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5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5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5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5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5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5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5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5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5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5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5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5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5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5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5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5">
      <c r="D87" s="6"/>
    </row>
    <row r="88" spans="2:7" x14ac:dyDescent="0.25">
      <c r="D88" s="6"/>
    </row>
    <row r="89" spans="2:7" x14ac:dyDescent="0.25">
      <c r="D89" s="6"/>
    </row>
    <row r="90" spans="2:7" x14ac:dyDescent="0.25">
      <c r="D90" s="6"/>
    </row>
    <row r="91" spans="2:7" x14ac:dyDescent="0.25">
      <c r="D91" s="6"/>
    </row>
    <row r="92" spans="2:7" x14ac:dyDescent="0.25">
      <c r="D92" s="6"/>
    </row>
    <row r="93" spans="2:7" x14ac:dyDescent="0.25">
      <c r="D93" s="6"/>
    </row>
    <row r="94" spans="2:7" x14ac:dyDescent="0.25">
      <c r="D94" s="6"/>
    </row>
    <row r="95" spans="2:7" x14ac:dyDescent="0.25">
      <c r="D95" s="6"/>
    </row>
    <row r="96" spans="2:7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  <row r="116" spans="4:4" x14ac:dyDescent="0.25">
      <c r="D116" s="6"/>
    </row>
    <row r="117" spans="4:4" x14ac:dyDescent="0.25">
      <c r="D117" s="6"/>
    </row>
    <row r="118" spans="4:4" x14ac:dyDescent="0.25">
      <c r="D118" s="6"/>
    </row>
    <row r="119" spans="4:4" x14ac:dyDescent="0.25">
      <c r="D119" s="6"/>
    </row>
    <row r="120" spans="4:4" x14ac:dyDescent="0.25">
      <c r="D120" s="6"/>
    </row>
    <row r="121" spans="4:4" x14ac:dyDescent="0.25">
      <c r="D121" s="6"/>
    </row>
    <row r="122" spans="4:4" x14ac:dyDescent="0.25">
      <c r="D122" s="6"/>
    </row>
    <row r="123" spans="4:4" x14ac:dyDescent="0.25">
      <c r="D123" s="6"/>
    </row>
    <row r="124" spans="4:4" x14ac:dyDescent="0.25">
      <c r="D124" s="6"/>
    </row>
    <row r="125" spans="4:4" x14ac:dyDescent="0.25">
      <c r="D125" s="6"/>
    </row>
    <row r="126" spans="4:4" x14ac:dyDescent="0.25">
      <c r="D126" s="6"/>
    </row>
    <row r="127" spans="4:4" x14ac:dyDescent="0.25">
      <c r="D127" s="6"/>
    </row>
    <row r="128" spans="4:4" x14ac:dyDescent="0.25">
      <c r="D128" s="6"/>
    </row>
    <row r="129" spans="4:4" x14ac:dyDescent="0.25">
      <c r="D129" s="6"/>
    </row>
  </sheetData>
  <autoFilter ref="C4:G86" xr:uid="{00000000-0001-0000-04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workbookViewId="0"/>
  </sheetViews>
  <sheetFormatPr defaultColWidth="9.140625" defaultRowHeight="12" x14ac:dyDescent="0.2"/>
  <cols>
    <col min="1" max="1" width="2" style="2" customWidth="1"/>
    <col min="2" max="2" width="17.28515625" style="2" bestFit="1" customWidth="1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8" max="16384" width="9.140625" style="2"/>
  </cols>
  <sheetData>
    <row r="1" spans="2:7" ht="15.75" x14ac:dyDescent="0.25">
      <c r="C1" s="3" t="s">
        <v>114</v>
      </c>
    </row>
    <row r="4" spans="2:7" x14ac:dyDescent="0.2">
      <c r="B4" s="2" t="s">
        <v>115</v>
      </c>
      <c r="C4" s="6" t="s">
        <v>99</v>
      </c>
      <c r="D4" s="6" t="s">
        <v>31</v>
      </c>
      <c r="E4" s="6" t="s">
        <v>100</v>
      </c>
      <c r="F4" s="6" t="s">
        <v>101</v>
      </c>
      <c r="G4" s="6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-616462.01899999997</v>
      </c>
      <c r="G5" s="6">
        <v>2001110000</v>
      </c>
    </row>
    <row r="6" spans="2:7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-14431341</v>
      </c>
      <c r="G6" s="17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2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2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2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2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2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2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2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2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2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2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2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2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2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2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2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2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2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2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2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2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2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2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2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2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2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2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2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2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2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2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2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2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2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2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2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2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2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2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2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2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2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2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2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2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2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2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2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2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2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2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2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2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2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2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2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2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2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2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2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2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2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2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2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2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2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2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2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2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2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2">
      <c r="D79" s="6"/>
    </row>
    <row r="80" spans="2:7" x14ac:dyDescent="0.2">
      <c r="D80" s="6"/>
    </row>
    <row r="81" spans="4:4" x14ac:dyDescent="0.2">
      <c r="D81" s="6"/>
    </row>
    <row r="82" spans="4:4" x14ac:dyDescent="0.2">
      <c r="D82" s="6"/>
    </row>
    <row r="83" spans="4:4" x14ac:dyDescent="0.2">
      <c r="D83" s="6"/>
    </row>
    <row r="84" spans="4:4" x14ac:dyDescent="0.2">
      <c r="D84" s="6"/>
    </row>
    <row r="85" spans="4:4" x14ac:dyDescent="0.2">
      <c r="D85" s="6"/>
    </row>
    <row r="86" spans="4:4" x14ac:dyDescent="0.2">
      <c r="D86" s="6"/>
    </row>
    <row r="87" spans="4:4" x14ac:dyDescent="0.2">
      <c r="D87" s="6"/>
    </row>
    <row r="88" spans="4:4" x14ac:dyDescent="0.2">
      <c r="D88" s="6"/>
    </row>
    <row r="89" spans="4:4" x14ac:dyDescent="0.2">
      <c r="D89" s="6"/>
    </row>
    <row r="90" spans="4:4" x14ac:dyDescent="0.2">
      <c r="D90" s="6"/>
    </row>
    <row r="91" spans="4:4" x14ac:dyDescent="0.2">
      <c r="D91" s="6"/>
    </row>
    <row r="92" spans="4:4" x14ac:dyDescent="0.2">
      <c r="D92" s="6"/>
    </row>
    <row r="93" spans="4:4" x14ac:dyDescent="0.2">
      <c r="D93" s="6"/>
    </row>
    <row r="94" spans="4:4" x14ac:dyDescent="0.2">
      <c r="D94" s="6"/>
    </row>
    <row r="95" spans="4:4" x14ac:dyDescent="0.2">
      <c r="D95" s="6"/>
    </row>
    <row r="96" spans="4:4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</sheetData>
  <autoFilter ref="C4:G78" xr:uid="{00000000-0001-0000-0500-000000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I218"/>
  <sheetViews>
    <sheetView workbookViewId="0"/>
  </sheetViews>
  <sheetFormatPr defaultColWidth="9.140625" defaultRowHeight="12" x14ac:dyDescent="0.2"/>
  <cols>
    <col min="1" max="1" width="2" style="2" customWidth="1"/>
    <col min="2" max="2" width="18.5703125" style="2" customWidth="1"/>
    <col min="3" max="3" width="21.7109375" style="2" customWidth="1"/>
    <col min="4" max="4" width="14.42578125" style="2" bestFit="1" customWidth="1"/>
    <col min="5" max="5" width="23" style="2" customWidth="1"/>
    <col min="6" max="6" width="11.42578125" style="25" customWidth="1"/>
    <col min="7" max="8" width="9.140625" style="25"/>
    <col min="9" max="9" width="21.7109375" style="2" bestFit="1" customWidth="1"/>
    <col min="10" max="16384" width="9.140625" style="2"/>
  </cols>
  <sheetData>
    <row r="1" spans="2:9" ht="15.75" x14ac:dyDescent="0.25">
      <c r="B1" s="3" t="s">
        <v>56</v>
      </c>
    </row>
    <row r="3" spans="2:9" ht="12.75" thickBot="1" x14ac:dyDescent="0.25">
      <c r="B3" s="24" t="s">
        <v>115</v>
      </c>
      <c r="C3" s="24" t="s">
        <v>99</v>
      </c>
      <c r="D3" s="24" t="s">
        <v>31</v>
      </c>
      <c r="E3" s="24" t="s">
        <v>100</v>
      </c>
      <c r="F3" s="26" t="s">
        <v>112</v>
      </c>
      <c r="G3" s="26" t="s">
        <v>113</v>
      </c>
      <c r="H3" s="26" t="s">
        <v>114</v>
      </c>
      <c r="I3" s="26" t="s">
        <v>221</v>
      </c>
    </row>
    <row r="4" spans="2:9" ht="12.75" thickTop="1" x14ac:dyDescent="0.2">
      <c r="B4" s="6" t="s">
        <v>116</v>
      </c>
      <c r="C4" s="2" t="str">
        <f>VLOOKUP($B4,'1.1 FY2016'!$B$5:$E$61,2,FALSE)</f>
        <v>Core business revenues</v>
      </c>
      <c r="D4" s="25">
        <f>VLOOKUP($B4,'1.1 FY2016'!$B$5:$E$61,3,FALSE)</f>
        <v>111111</v>
      </c>
      <c r="E4" s="25" t="str">
        <f>VLOOKUP($B4,'1.1 FY2016'!$B$5:$E$61,4,FALSE)</f>
        <v>External</v>
      </c>
      <c r="F4" s="25">
        <f>-SUMIF('1.1 FY2016'!$B:$B,'2.1 Database'!B4,'1.1 FY2016'!$F:$F)</f>
        <v>14500341</v>
      </c>
      <c r="G4" s="25">
        <f>-SUMIF('1.2 FY2017'!$B:$B,'2.1 Database'!B4,'1.2 FY2017'!$F:$F)</f>
        <v>15792898.75</v>
      </c>
      <c r="H4" s="25">
        <f>-SUMIF('1.3 FY2018'!$B:$B,'2.1 Database'!B4,'1.3 FY2018'!$F:$F)</f>
        <v>14431341</v>
      </c>
      <c r="I4" s="2" t="s">
        <v>222</v>
      </c>
    </row>
    <row r="5" spans="2:9" x14ac:dyDescent="0.2">
      <c r="B5" s="6" t="s">
        <v>117</v>
      </c>
      <c r="C5" s="2" t="str">
        <f>VLOOKUP($B5,'1.1 FY2016'!$B$5:$E$61,2,FALSE)</f>
        <v>Other revenues</v>
      </c>
      <c r="D5" s="25">
        <f>VLOOKUP($B5,'1.1 FY2016'!$B$5:$E$61,3,FALSE)</f>
        <v>111111</v>
      </c>
      <c r="E5" s="25" t="str">
        <f>VLOOKUP($B5,'1.1 FY2016'!$B$5:$E$61,4,FALSE)</f>
        <v>External</v>
      </c>
      <c r="F5" s="25">
        <f>-SUMIF('1.1 FY2016'!$B:$B,'2.1 Database'!B5,'1.1 FY2016'!$F:$F)</f>
        <v>4794856.1919999998</v>
      </c>
      <c r="G5" s="25">
        <f>-SUMIF('1.2 FY2017'!$B:$B,'2.1 Database'!B5,'1.2 FY2017'!$F:$F)</f>
        <v>6960217.6449999996</v>
      </c>
      <c r="H5" s="25">
        <f>-SUMIF('1.3 FY2018'!$B:$B,'2.1 Database'!B5,'1.3 FY2018'!$F:$F)</f>
        <v>6373617.5140000004</v>
      </c>
      <c r="I5" s="2" t="s">
        <v>223</v>
      </c>
    </row>
    <row r="6" spans="2:9" x14ac:dyDescent="0.2">
      <c r="B6" s="6" t="s">
        <v>118</v>
      </c>
      <c r="C6" s="2" t="str">
        <f>VLOOKUP($B6,'1.1 FY2016'!$B$5:$E$61,2,FALSE)</f>
        <v>Capitalized costs</v>
      </c>
      <c r="D6" s="25">
        <f>VLOOKUP($B6,'1.1 FY2016'!$B$5:$E$61,3,FALSE)</f>
        <v>1009</v>
      </c>
      <c r="E6" s="25" t="str">
        <f>VLOOKUP($B6,'1.1 FY2016'!$B$5:$E$61,4,FALSE)</f>
        <v>Green Ventures Ltd</v>
      </c>
      <c r="F6" s="25">
        <f>-SUMIF('1.1 FY2016'!$B:$B,'2.1 Database'!B6,'1.1 FY2016'!$F:$F)</f>
        <v>154890.4</v>
      </c>
      <c r="G6" s="25">
        <f>-SUMIF('1.2 FY2017'!$B:$B,'2.1 Database'!B6,'1.2 FY2017'!$F:$F)</f>
        <v>0</v>
      </c>
      <c r="H6" s="25">
        <f>-SUMIF('1.3 FY2018'!$B:$B,'2.1 Database'!B6,'1.3 FY2018'!$F:$F)</f>
        <v>0</v>
      </c>
      <c r="I6" s="2" t="s">
        <v>67</v>
      </c>
    </row>
    <row r="7" spans="2:9" x14ac:dyDescent="0.2">
      <c r="B7" s="6" t="s">
        <v>119</v>
      </c>
      <c r="C7" s="2" t="str">
        <f>VLOOKUP($B7,'1.1 FY2016'!$B$5:$E$61,2,FALSE)</f>
        <v>Capitalized costs</v>
      </c>
      <c r="D7" s="25">
        <f>VLOOKUP($B7,'1.1 FY2016'!$B$5:$E$61,3,FALSE)</f>
        <v>1007</v>
      </c>
      <c r="E7" s="25" t="str">
        <f>VLOOKUP($B7,'1.1 FY2016'!$B$5:$E$61,4,FALSE)</f>
        <v>Generco Sunshine JSC</v>
      </c>
      <c r="F7" s="25">
        <f>-SUMIF('1.1 FY2016'!$B:$B,'2.1 Database'!B7,'1.1 FY2016'!$F:$F)</f>
        <v>1180894.0520000001</v>
      </c>
      <c r="G7" s="25">
        <f>-SUMIF('1.2 FY2017'!$B:$B,'2.1 Database'!B7,'1.2 FY2017'!$F:$F)</f>
        <v>89234.880000000005</v>
      </c>
      <c r="H7" s="25">
        <f>-SUMIF('1.3 FY2018'!$B:$B,'2.1 Database'!B7,'1.3 FY2018'!$F:$F)</f>
        <v>0</v>
      </c>
      <c r="I7" s="2" t="s">
        <v>67</v>
      </c>
    </row>
    <row r="8" spans="2:9" x14ac:dyDescent="0.2">
      <c r="B8" s="6" t="s">
        <v>120</v>
      </c>
      <c r="C8" s="2" t="str">
        <f>VLOOKUP($B8,'1.1 FY2016'!$B$5:$E$61,2,FALSE)</f>
        <v>Capitalized costs</v>
      </c>
      <c r="D8" s="25">
        <f>VLOOKUP($B8,'1.1 FY2016'!$B$5:$E$61,3,FALSE)</f>
        <v>1008</v>
      </c>
      <c r="E8" s="25" t="str">
        <f>VLOOKUP($B8,'1.1 FY2016'!$B$5:$E$61,4,FALSE)</f>
        <v>Greenco Ltd</v>
      </c>
      <c r="F8" s="25">
        <f>-SUMIF('1.1 FY2016'!$B:$B,'2.1 Database'!B8,'1.1 FY2016'!$F:$F)</f>
        <v>793079.51199999999</v>
      </c>
      <c r="G8" s="25">
        <f>-SUMIF('1.2 FY2017'!$B:$B,'2.1 Database'!B8,'1.2 FY2017'!$F:$F)</f>
        <v>26173</v>
      </c>
      <c r="H8" s="25">
        <f>-SUMIF('1.3 FY2018'!$B:$B,'2.1 Database'!B8,'1.3 FY2018'!$F:$F)</f>
        <v>0</v>
      </c>
      <c r="I8" s="2" t="s">
        <v>67</v>
      </c>
    </row>
    <row r="9" spans="2:9" x14ac:dyDescent="0.2">
      <c r="B9" s="6" t="s">
        <v>121</v>
      </c>
      <c r="C9" s="2" t="str">
        <f>VLOOKUP($B9,'1.1 FY2016'!$B$5:$E$61,2,FALSE)</f>
        <v>Capitalized costs</v>
      </c>
      <c r="D9" s="25">
        <f>VLOOKUP($B9,'1.1 FY2016'!$B$5:$E$61,3,FALSE)</f>
        <v>111101</v>
      </c>
      <c r="E9" s="25" t="str">
        <f>VLOOKUP($B9,'1.1 FY2016'!$B$5:$E$61,4,FALSE)</f>
        <v>Not assigned</v>
      </c>
      <c r="F9" s="25">
        <f>-SUMIF('1.1 FY2016'!$B:$B,'2.1 Database'!B9,'1.1 FY2016'!$F:$F)</f>
        <v>2277197.6</v>
      </c>
      <c r="G9" s="25">
        <f>-SUMIF('1.2 FY2017'!$B:$B,'2.1 Database'!B9,'1.2 FY2017'!$F:$F)</f>
        <v>209401.92</v>
      </c>
      <c r="H9" s="25">
        <f>-SUMIF('1.3 FY2018'!$B:$B,'2.1 Database'!B9,'1.3 FY2018'!$F:$F)</f>
        <v>0</v>
      </c>
      <c r="I9" s="2" t="s">
        <v>67</v>
      </c>
    </row>
    <row r="10" spans="2:9" x14ac:dyDescent="0.2">
      <c r="B10" s="6" t="s">
        <v>122</v>
      </c>
      <c r="C10" s="2" t="str">
        <f>VLOOKUP($B10,'1.1 FY2016'!$B$5:$E$61,2,FALSE)</f>
        <v>Direct costs</v>
      </c>
      <c r="D10" s="25">
        <f>VLOOKUP($B10,'1.1 FY2016'!$B$5:$E$61,3,FALSE)</f>
        <v>111111</v>
      </c>
      <c r="E10" s="25" t="str">
        <f>VLOOKUP($B10,'1.1 FY2016'!$B$5:$E$61,4,FALSE)</f>
        <v>External</v>
      </c>
      <c r="F10" s="25">
        <f>-SUMIF('1.1 FY2016'!$B:$B,'2.1 Database'!B10,'1.1 FY2016'!$F:$F)</f>
        <v>-4428911.7640000004</v>
      </c>
      <c r="G10" s="25">
        <f>-SUMIF('1.2 FY2017'!$B:$B,'2.1 Database'!B10,'1.2 FY2017'!$F:$F)</f>
        <v>-5463188.8250000002</v>
      </c>
      <c r="H10" s="25">
        <f>-SUMIF('1.3 FY2018'!$B:$B,'2.1 Database'!B10,'1.3 FY2018'!$F:$F)</f>
        <v>-5674152.0669999998</v>
      </c>
      <c r="I10" s="2" t="s">
        <v>104</v>
      </c>
    </row>
    <row r="11" spans="2:9" x14ac:dyDescent="0.2">
      <c r="B11" s="6" t="s">
        <v>123</v>
      </c>
      <c r="C11" s="2" t="str">
        <f>VLOOKUP($B11,'1.1 FY2016'!$B$5:$E$61,2,FALSE)</f>
        <v>Freight outbound expenses</v>
      </c>
      <c r="D11" s="25">
        <f>VLOOKUP($B11,'1.1 FY2016'!$B$5:$E$61,3,FALSE)</f>
        <v>111111</v>
      </c>
      <c r="E11" s="25" t="str">
        <f>VLOOKUP($B11,'1.1 FY2016'!$B$5:$E$61,4,FALSE)</f>
        <v>External</v>
      </c>
      <c r="F11" s="25">
        <f>-SUMIF('1.1 FY2016'!$B:$B,'2.1 Database'!B11,'1.1 FY2016'!$F:$F)</f>
        <v>-16977.628000000001</v>
      </c>
      <c r="G11" s="25">
        <f>-SUMIF('1.2 FY2017'!$B:$B,'2.1 Database'!B11,'1.2 FY2017'!$F:$F)</f>
        <v>-343675</v>
      </c>
      <c r="H11" s="25">
        <f>-SUMIF('1.3 FY2018'!$B:$B,'2.1 Database'!B11,'1.3 FY2018'!$F:$F)</f>
        <v>-350370.99399999995</v>
      </c>
      <c r="I11" s="2" t="s">
        <v>224</v>
      </c>
    </row>
    <row r="12" spans="2:9" x14ac:dyDescent="0.2">
      <c r="B12" s="6" t="s">
        <v>124</v>
      </c>
      <c r="C12" s="2" t="str">
        <f>VLOOKUP($B12,'1.1 FY2016'!$B$5:$E$61,2,FALSE)</f>
        <v>R&amp;D expenses</v>
      </c>
      <c r="D12" s="25">
        <f>VLOOKUP($B12,'1.1 FY2016'!$B$5:$E$61,3,FALSE)</f>
        <v>88</v>
      </c>
      <c r="E12" s="25" t="str">
        <f>VLOOKUP($B12,'1.1 FY2016'!$B$5:$E$61,4,FALSE)</f>
        <v>Generco Ltd</v>
      </c>
      <c r="F12" s="25">
        <f>-SUMIF('1.1 FY2016'!$B:$B,'2.1 Database'!B12,'1.1 FY2016'!$F:$F)</f>
        <v>-2245437.54</v>
      </c>
      <c r="G12" s="25">
        <f>-SUMIF('1.2 FY2017'!$B:$B,'2.1 Database'!B12,'1.2 FY2017'!$F:$F)</f>
        <v>-1980162.23</v>
      </c>
      <c r="H12" s="25">
        <f>-SUMIF('1.3 FY2018'!$B:$B,'2.1 Database'!B12,'1.3 FY2018'!$F:$F)</f>
        <v>-3116017.1540000001</v>
      </c>
      <c r="I12" s="2" t="s">
        <v>224</v>
      </c>
    </row>
    <row r="13" spans="2:9" x14ac:dyDescent="0.2">
      <c r="B13" s="6" t="s">
        <v>125</v>
      </c>
      <c r="C13" s="2" t="str">
        <f>VLOOKUP($B13,'1.1 FY2016'!$B$5:$E$61,2,FALSE)</f>
        <v>R&amp;D expenses</v>
      </c>
      <c r="D13" s="25">
        <f>VLOOKUP($B13,'1.1 FY2016'!$B$5:$E$61,3,FALSE)</f>
        <v>111111</v>
      </c>
      <c r="E13" s="25" t="str">
        <f>VLOOKUP($B13,'1.1 FY2016'!$B$5:$E$61,4,FALSE)</f>
        <v>External</v>
      </c>
      <c r="F13" s="25">
        <f>-SUMIF('1.1 FY2016'!$B:$B,'2.1 Database'!B13,'1.1 FY2016'!$F:$F)</f>
        <v>-16605.634000000002</v>
      </c>
      <c r="G13" s="25">
        <f>-SUMIF('1.2 FY2017'!$B:$B,'2.1 Database'!B13,'1.2 FY2017'!$F:$F)</f>
        <v>-27148.625</v>
      </c>
      <c r="H13" s="25">
        <f>-SUMIF('1.3 FY2018'!$B:$B,'2.1 Database'!B13,'1.3 FY2018'!$F:$F)</f>
        <v>-9783.7069999999985</v>
      </c>
      <c r="I13" s="2" t="s">
        <v>224</v>
      </c>
    </row>
    <row r="14" spans="2:9" x14ac:dyDescent="0.2">
      <c r="B14" s="6" t="s">
        <v>126</v>
      </c>
      <c r="C14" s="2" t="str">
        <f>VLOOKUP($B14,'1.1 FY2016'!$B$5:$E$61,2,FALSE)</f>
        <v>Wages and salaries</v>
      </c>
      <c r="D14" s="25">
        <f>VLOOKUP($B14,'1.1 FY2016'!$B$5:$E$61,3,FALSE)</f>
        <v>111111</v>
      </c>
      <c r="E14" s="25" t="str">
        <f>VLOOKUP($B14,'1.1 FY2016'!$B$5:$E$61,4,FALSE)</f>
        <v>External</v>
      </c>
      <c r="F14" s="25">
        <f>-SUMIF('1.1 FY2016'!$B:$B,'2.1 Database'!B14,'1.1 FY2016'!$F:$F)</f>
        <v>-4683394.0460000001</v>
      </c>
      <c r="G14" s="25">
        <f>-SUMIF('1.2 FY2017'!$B:$B,'2.1 Database'!B14,'1.2 FY2017'!$F:$F)</f>
        <v>-5507141.0549999997</v>
      </c>
      <c r="H14" s="25">
        <f>-SUMIF('1.3 FY2018'!$B:$B,'2.1 Database'!B14,'1.3 FY2018'!$F:$F)</f>
        <v>-3982699.5329999998</v>
      </c>
      <c r="I14" s="2" t="s">
        <v>225</v>
      </c>
    </row>
    <row r="15" spans="2:9" x14ac:dyDescent="0.2">
      <c r="B15" s="6" t="s">
        <v>127</v>
      </c>
      <c r="C15" s="2" t="str">
        <f>VLOOKUP($B15,'1.1 FY2016'!$B$5:$E$61,2,FALSE)</f>
        <v>Pension contributions</v>
      </c>
      <c r="D15" s="25">
        <f>VLOOKUP($B15,'1.1 FY2016'!$B$5:$E$61,3,FALSE)</f>
        <v>111101</v>
      </c>
      <c r="E15" s="25" t="str">
        <f>VLOOKUP($B15,'1.1 FY2016'!$B$5:$E$61,4,FALSE)</f>
        <v>Not assigned</v>
      </c>
      <c r="F15" s="25">
        <f>-SUMIF('1.1 FY2016'!$B:$B,'2.1 Database'!B15,'1.1 FY2016'!$F:$F)</f>
        <v>-1143051.5760000001</v>
      </c>
      <c r="G15" s="25">
        <f>-SUMIF('1.2 FY2017'!$B:$B,'2.1 Database'!B15,'1.2 FY2017'!$F:$F)</f>
        <v>-2057298.04</v>
      </c>
      <c r="H15" s="25">
        <f>-SUMIF('1.3 FY2018'!$B:$B,'2.1 Database'!B15,'1.3 FY2018'!$F:$F)</f>
        <v>-1709688.6429999997</v>
      </c>
      <c r="I15" s="2" t="s">
        <v>225</v>
      </c>
    </row>
    <row r="16" spans="2:9" x14ac:dyDescent="0.2">
      <c r="B16" s="6" t="s">
        <v>128</v>
      </c>
      <c r="C16" s="2" t="str">
        <f>VLOOKUP($B16,'1.1 FY2016'!$B$5:$E$61,2,FALSE)</f>
        <v>Pension contributions</v>
      </c>
      <c r="D16" s="25">
        <f>VLOOKUP($B16,'1.1 FY2016'!$B$5:$E$61,3,FALSE)</f>
        <v>88</v>
      </c>
      <c r="E16" s="25" t="str">
        <f>VLOOKUP($B16,'1.1 FY2016'!$B$5:$E$61,4,FALSE)</f>
        <v>Generco Ltd</v>
      </c>
      <c r="F16" s="25">
        <f>-SUMIF('1.1 FY2016'!$B:$B,'2.1 Database'!B16,'1.1 FY2016'!$F:$F)</f>
        <v>-239379.61800000002</v>
      </c>
      <c r="G16" s="25">
        <f>-SUMIF('1.2 FY2017'!$B:$B,'2.1 Database'!B16,'1.2 FY2017'!$F:$F)</f>
        <v>0</v>
      </c>
      <c r="H16" s="25">
        <f>-SUMIF('1.3 FY2018'!$B:$B,'2.1 Database'!B16,'1.3 FY2018'!$F:$F)</f>
        <v>0</v>
      </c>
      <c r="I16" s="2" t="s">
        <v>225</v>
      </c>
    </row>
    <row r="17" spans="2:9" x14ac:dyDescent="0.2">
      <c r="B17" s="6" t="s">
        <v>129</v>
      </c>
      <c r="C17" s="2" t="str">
        <f>VLOOKUP($B17,'1.1 FY2016'!$B$5:$E$61,2,FALSE)</f>
        <v>Severance indemnity contribution</v>
      </c>
      <c r="D17" s="25">
        <f>VLOOKUP($B17,'1.1 FY2016'!$B$5:$E$61,3,FALSE)</f>
        <v>111101</v>
      </c>
      <c r="E17" s="25" t="str">
        <f>VLOOKUP($B17,'1.1 FY2016'!$B$5:$E$61,4,FALSE)</f>
        <v>Not assigned</v>
      </c>
      <c r="F17" s="25">
        <f>-SUMIF('1.1 FY2016'!$B:$B,'2.1 Database'!B17,'1.1 FY2016'!$F:$F)</f>
        <v>-104913.8</v>
      </c>
      <c r="G17" s="25">
        <f>-SUMIF('1.2 FY2017'!$B:$B,'2.1 Database'!B17,'1.2 FY2017'!$F:$F)</f>
        <v>-500500</v>
      </c>
      <c r="H17" s="25">
        <f>-SUMIF('1.3 FY2018'!$B:$B,'2.1 Database'!B17,'1.3 FY2018'!$F:$F)</f>
        <v>-143500</v>
      </c>
      <c r="I17" s="2" t="s">
        <v>225</v>
      </c>
    </row>
    <row r="18" spans="2:9" x14ac:dyDescent="0.2">
      <c r="B18" s="6" t="s">
        <v>130</v>
      </c>
      <c r="C18" s="2" t="str">
        <f>VLOOKUP($B18,'1.1 FY2016'!$B$5:$E$61,2,FALSE)</f>
        <v>D&amp;A</v>
      </c>
      <c r="D18" s="25">
        <f>VLOOKUP($B18,'1.1 FY2016'!$B$5:$E$61,3,FALSE)</f>
        <v>111101</v>
      </c>
      <c r="E18" s="25" t="str">
        <f>VLOOKUP($B18,'1.1 FY2016'!$B$5:$E$61,4,FALSE)</f>
        <v>Not assigned</v>
      </c>
      <c r="F18" s="25">
        <f>-SUMIF('1.1 FY2016'!$B:$B,'2.1 Database'!B18,'1.1 FY2016'!$F:$F)</f>
        <v>-2003262.2180000001</v>
      </c>
      <c r="G18" s="25">
        <f>-SUMIF('1.2 FY2017'!$B:$B,'2.1 Database'!B18,'1.2 FY2017'!$F:$F)</f>
        <v>-1897676.87</v>
      </c>
      <c r="H18" s="25">
        <f>-SUMIF('1.3 FY2018'!$B:$B,'2.1 Database'!B18,'1.3 FY2018'!$F:$F)</f>
        <v>-1875768.159</v>
      </c>
      <c r="I18" s="2" t="s">
        <v>72</v>
      </c>
    </row>
    <row r="19" spans="2:9" x14ac:dyDescent="0.2">
      <c r="B19" s="6" t="s">
        <v>131</v>
      </c>
      <c r="C19" s="2" t="str">
        <f>VLOOKUP($B19,'1.1 FY2016'!$B$5:$E$61,2,FALSE)</f>
        <v>D&amp;A</v>
      </c>
      <c r="D19" s="25">
        <f>VLOOKUP($B19,'1.1 FY2016'!$B$5:$E$61,3,FALSE)</f>
        <v>1</v>
      </c>
      <c r="E19" s="25" t="str">
        <f>VLOOKUP($B19,'1.1 FY2016'!$B$5:$E$61,4,FALSE)</f>
        <v>Not assigned</v>
      </c>
      <c r="F19" s="25">
        <f>-SUMIF('1.1 FY2016'!$B:$B,'2.1 Database'!B19,'1.1 FY2016'!$F:$F)</f>
        <v>-41981.296000000002</v>
      </c>
      <c r="G19" s="25">
        <f>-SUMIF('1.2 FY2017'!$B:$B,'2.1 Database'!B19,'1.2 FY2017'!$F:$F)</f>
        <v>0</v>
      </c>
      <c r="H19" s="25">
        <f>-SUMIF('1.3 FY2018'!$B:$B,'2.1 Database'!B19,'1.3 FY2018'!$F:$F)</f>
        <v>0</v>
      </c>
      <c r="I19" s="2" t="s">
        <v>72</v>
      </c>
    </row>
    <row r="20" spans="2:9" x14ac:dyDescent="0.2">
      <c r="B20" s="6" t="s">
        <v>132</v>
      </c>
      <c r="C20" s="2" t="str">
        <f>VLOOKUP($B20,'1.1 FY2016'!$B$5:$E$61,2,FALSE)</f>
        <v>Corporate recharges</v>
      </c>
      <c r="D20" s="25" t="str">
        <f>VLOOKUP($B20,'1.1 FY2016'!$B$5:$E$61,3,FALSE)</f>
        <v>1</v>
      </c>
      <c r="E20" s="25" t="str">
        <f>VLOOKUP($B20,'1.1 FY2016'!$B$5:$E$61,4,FALSE)</f>
        <v>Greeny Ltd</v>
      </c>
      <c r="F20" s="25">
        <f>-SUMIF('1.1 FY2016'!$B:$B,'2.1 Database'!B20,'1.1 FY2016'!$F:$F)</f>
        <v>2156147.4</v>
      </c>
      <c r="G20" s="25">
        <f>-SUMIF('1.2 FY2017'!$B:$B,'2.1 Database'!B20,'1.2 FY2017'!$F:$F)</f>
        <v>1643711.145</v>
      </c>
      <c r="H20" s="25">
        <f>-SUMIF('1.3 FY2018'!$B:$B,'2.1 Database'!B20,'1.3 FY2018'!$F:$F)</f>
        <v>1418521.358</v>
      </c>
      <c r="I20" s="2" t="s">
        <v>226</v>
      </c>
    </row>
    <row r="21" spans="2:9" x14ac:dyDescent="0.2">
      <c r="B21" s="6" t="s">
        <v>133</v>
      </c>
      <c r="C21" s="2" t="str">
        <f>VLOOKUP($B21,'1.1 FY2016'!$B$5:$E$61,2,FALSE)</f>
        <v>Corporate recharges</v>
      </c>
      <c r="D21" s="25">
        <f>VLOOKUP($B21,'1.1 FY2016'!$B$5:$E$61,3,FALSE)</f>
        <v>14</v>
      </c>
      <c r="E21" s="25" t="str">
        <f>VLOOKUP($B21,'1.1 FY2016'!$B$5:$E$61,4,FALSE)</f>
        <v>Generco Cosmetics Ltd</v>
      </c>
      <c r="F21" s="25">
        <f>-SUMIF('1.1 FY2016'!$B:$B,'2.1 Database'!B21,'1.1 FY2016'!$F:$F)</f>
        <v>291428.55199999997</v>
      </c>
      <c r="G21" s="25">
        <f>-SUMIF('1.2 FY2017'!$B:$B,'2.1 Database'!B21,'1.2 FY2017'!$F:$F)</f>
        <v>0</v>
      </c>
      <c r="H21" s="25">
        <f>-SUMIF('1.3 FY2018'!$B:$B,'2.1 Database'!B21,'1.3 FY2018'!$F:$F)</f>
        <v>0</v>
      </c>
      <c r="I21" s="2" t="s">
        <v>226</v>
      </c>
    </row>
    <row r="22" spans="2:9" x14ac:dyDescent="0.2">
      <c r="B22" s="6" t="s">
        <v>134</v>
      </c>
      <c r="C22" s="2" t="str">
        <f>VLOOKUP($B22,'1.1 FY2016'!$B$5:$E$61,2,FALSE)</f>
        <v>Corporate recharges</v>
      </c>
      <c r="D22" s="25">
        <f>VLOOKUP($B22,'1.1 FY2016'!$B$5:$E$61,3,FALSE)</f>
        <v>1037</v>
      </c>
      <c r="E22" s="25" t="str">
        <f>VLOOKUP($B22,'1.1 FY2016'!$B$5:$E$61,4,FALSE)</f>
        <v>Generco Canada JSC</v>
      </c>
      <c r="F22" s="25">
        <f>-SUMIF('1.1 FY2016'!$B:$B,'2.1 Database'!B22,'1.1 FY2016'!$F:$F)</f>
        <v>0</v>
      </c>
      <c r="G22" s="25">
        <f>-SUMIF('1.2 FY2017'!$B:$B,'2.1 Database'!B22,'1.2 FY2017'!$F:$F)</f>
        <v>0</v>
      </c>
      <c r="H22" s="25">
        <f>-SUMIF('1.3 FY2018'!$B:$B,'2.1 Database'!B22,'1.3 FY2018'!$F:$F)</f>
        <v>0</v>
      </c>
      <c r="I22" s="2" t="s">
        <v>226</v>
      </c>
    </row>
    <row r="23" spans="2:9" x14ac:dyDescent="0.2">
      <c r="B23" s="6" t="s">
        <v>135</v>
      </c>
      <c r="C23" s="2" t="str">
        <f>VLOOKUP($B23,'1.1 FY2016'!$B$5:$E$61,2,FALSE)</f>
        <v>Corporate recharges</v>
      </c>
      <c r="D23" s="25" t="str">
        <f>VLOOKUP($B23,'1.1 FY2016'!$B$5:$E$61,3,FALSE)</f>
        <v>1087</v>
      </c>
      <c r="E23" s="25" t="str">
        <f>VLOOKUP($B23,'1.1 FY2016'!$B$5:$E$61,4,FALSE)</f>
        <v>Gener Beauty GmbH</v>
      </c>
      <c r="F23" s="25">
        <f>-SUMIF('1.1 FY2016'!$B:$B,'2.1 Database'!B23,'1.1 FY2016'!$F:$F)</f>
        <v>33736.5</v>
      </c>
      <c r="G23" s="25">
        <f>-SUMIF('1.2 FY2017'!$B:$B,'2.1 Database'!B23,'1.2 FY2017'!$F:$F)</f>
        <v>0</v>
      </c>
      <c r="H23" s="25">
        <f>-SUMIF('1.3 FY2018'!$B:$B,'2.1 Database'!B23,'1.3 FY2018'!$F:$F)</f>
        <v>0</v>
      </c>
      <c r="I23" s="2" t="s">
        <v>226</v>
      </c>
    </row>
    <row r="24" spans="2:9" x14ac:dyDescent="0.2">
      <c r="B24" s="6" t="s">
        <v>136</v>
      </c>
      <c r="C24" s="2" t="str">
        <f>VLOOKUP($B24,'1.1 FY2016'!$B$5:$E$61,2,FALSE)</f>
        <v>Corporate recharges</v>
      </c>
      <c r="D24" s="25">
        <f>VLOOKUP($B24,'1.1 FY2016'!$B$5:$E$61,3,FALSE)</f>
        <v>1009</v>
      </c>
      <c r="E24" s="25" t="str">
        <f>VLOOKUP($B24,'1.1 FY2016'!$B$5:$E$61,4,FALSE)</f>
        <v>Green Ventures Ltd</v>
      </c>
      <c r="F24" s="25">
        <f>-SUMIF('1.1 FY2016'!$B:$B,'2.1 Database'!B24,'1.1 FY2016'!$F:$F)</f>
        <v>0</v>
      </c>
      <c r="G24" s="25">
        <f>-SUMIF('1.2 FY2017'!$B:$B,'2.1 Database'!B24,'1.2 FY2017'!$F:$F)</f>
        <v>0</v>
      </c>
      <c r="H24" s="25">
        <f>-SUMIF('1.3 FY2018'!$B:$B,'2.1 Database'!B24,'1.3 FY2018'!$F:$F)</f>
        <v>0</v>
      </c>
      <c r="I24" s="2" t="s">
        <v>226</v>
      </c>
    </row>
    <row r="25" spans="2:9" x14ac:dyDescent="0.2">
      <c r="B25" s="6" t="s">
        <v>137</v>
      </c>
      <c r="C25" s="2" t="str">
        <f>VLOOKUP($B25,'1.1 FY2016'!$B$5:$E$61,2,FALSE)</f>
        <v>Corporate recharges</v>
      </c>
      <c r="D25" s="25">
        <f>VLOOKUP($B25,'1.1 FY2016'!$B$5:$E$61,3,FALSE)</f>
        <v>1007</v>
      </c>
      <c r="E25" s="25" t="str">
        <f>VLOOKUP($B25,'1.1 FY2016'!$B$5:$E$61,4,FALSE)</f>
        <v>Generco Sunshine JSC</v>
      </c>
      <c r="F25" s="25">
        <f>-SUMIF('1.1 FY2016'!$B:$B,'2.1 Database'!B25,'1.1 FY2016'!$F:$F)</f>
        <v>0</v>
      </c>
      <c r="G25" s="25">
        <f>-SUMIF('1.2 FY2017'!$B:$B,'2.1 Database'!B25,'1.2 FY2017'!$F:$F)</f>
        <v>0</v>
      </c>
      <c r="H25" s="25">
        <f>-SUMIF('1.3 FY2018'!$B:$B,'2.1 Database'!B25,'1.3 FY2018'!$F:$F)</f>
        <v>0</v>
      </c>
      <c r="I25" s="2" t="s">
        <v>226</v>
      </c>
    </row>
    <row r="26" spans="2:9" x14ac:dyDescent="0.2">
      <c r="B26" s="6" t="s">
        <v>138</v>
      </c>
      <c r="C26" s="2" t="str">
        <f>VLOOKUP($B26,'1.1 FY2016'!$B$5:$E$61,2,FALSE)</f>
        <v>Corporate recharges</v>
      </c>
      <c r="D26" s="25">
        <f>VLOOKUP($B26,'1.1 FY2016'!$B$5:$E$61,3,FALSE)</f>
        <v>1008</v>
      </c>
      <c r="E26" s="25" t="str">
        <f>VLOOKUP($B26,'1.1 FY2016'!$B$5:$E$61,4,FALSE)</f>
        <v>Greenco Ltd</v>
      </c>
      <c r="F26" s="25">
        <f>-SUMIF('1.1 FY2016'!$B:$B,'2.1 Database'!B26,'1.1 FY2016'!$F:$F)</f>
        <v>0</v>
      </c>
      <c r="G26" s="25">
        <f>-SUMIF('1.2 FY2017'!$B:$B,'2.1 Database'!B26,'1.2 FY2017'!$F:$F)</f>
        <v>0</v>
      </c>
      <c r="H26" s="25">
        <f>-SUMIF('1.3 FY2018'!$B:$B,'2.1 Database'!B26,'1.3 FY2018'!$F:$F)</f>
        <v>0</v>
      </c>
      <c r="I26" s="2" t="s">
        <v>226</v>
      </c>
    </row>
    <row r="27" spans="2:9" x14ac:dyDescent="0.2">
      <c r="B27" s="6" t="s">
        <v>139</v>
      </c>
      <c r="C27" s="2" t="str">
        <f>VLOOKUP($B27,'1.1 FY2016'!$B$5:$E$61,2,FALSE)</f>
        <v>Corporate recharges</v>
      </c>
      <c r="D27" s="25">
        <f>VLOOKUP($B27,'1.1 FY2016'!$B$5:$E$61,3,FALSE)</f>
        <v>1240</v>
      </c>
      <c r="E27" s="25" t="str">
        <f>VLOOKUP($B27,'1.1 FY2016'!$B$5:$E$61,4,FALSE)</f>
        <v xml:space="preserve">Generco UK </v>
      </c>
      <c r="F27" s="25">
        <f>-SUMIF('1.1 FY2016'!$B:$B,'2.1 Database'!B27,'1.1 FY2016'!$F:$F)</f>
        <v>199600.4</v>
      </c>
      <c r="G27" s="25">
        <f>-SUMIF('1.2 FY2017'!$B:$B,'2.1 Database'!B27,'1.2 FY2017'!$F:$F)</f>
        <v>10461.36</v>
      </c>
      <c r="H27" s="25">
        <f>-SUMIF('1.3 FY2018'!$B:$B,'2.1 Database'!B27,'1.3 FY2018'!$F:$F)</f>
        <v>0</v>
      </c>
      <c r="I27" s="2" t="s">
        <v>226</v>
      </c>
    </row>
    <row r="28" spans="2:9" x14ac:dyDescent="0.2">
      <c r="B28" s="6" t="s">
        <v>140</v>
      </c>
      <c r="C28" s="2" t="str">
        <f>VLOOKUP($B28,'1.1 FY2016'!$B$5:$E$61,2,FALSE)</f>
        <v>Corporate recharges</v>
      </c>
      <c r="D28" s="25">
        <f>VLOOKUP($B28,'1.1 FY2016'!$B$5:$E$61,3,FALSE)</f>
        <v>111111</v>
      </c>
      <c r="E28" s="25" t="str">
        <f>VLOOKUP($B28,'1.1 FY2016'!$B$5:$E$61,4,FALSE)</f>
        <v>External</v>
      </c>
      <c r="F28" s="25">
        <f>-SUMIF('1.1 FY2016'!$B:$B,'2.1 Database'!B28,'1.1 FY2016'!$F:$F)</f>
        <v>539141.4</v>
      </c>
      <c r="G28" s="25">
        <f>-SUMIF('1.2 FY2017'!$B:$B,'2.1 Database'!B28,'1.2 FY2017'!$F:$F)</f>
        <v>6785.94</v>
      </c>
      <c r="H28" s="25">
        <f>-SUMIF('1.3 FY2018'!$B:$B,'2.1 Database'!B28,'1.3 FY2018'!$F:$F)</f>
        <v>902857.84299999999</v>
      </c>
      <c r="I28" s="2" t="s">
        <v>226</v>
      </c>
    </row>
    <row r="29" spans="2:9" x14ac:dyDescent="0.2">
      <c r="B29" s="6" t="s">
        <v>141</v>
      </c>
      <c r="C29" s="2" t="str">
        <f>VLOOKUP($B29,'1.1 FY2016'!$B$5:$E$61,2,FALSE)</f>
        <v>Other income</v>
      </c>
      <c r="D29" s="25">
        <f>VLOOKUP($B29,'1.1 FY2016'!$B$5:$E$61,3,FALSE)</f>
        <v>111111</v>
      </c>
      <c r="E29" s="25" t="str">
        <f>VLOOKUP($B29,'1.1 FY2016'!$B$5:$E$61,4,FALSE)</f>
        <v>External</v>
      </c>
      <c r="F29" s="25">
        <f>-SUMIF('1.1 FY2016'!$B:$B,'2.1 Database'!B29,'1.1 FY2016'!$F:$F)</f>
        <v>57.221999999999994</v>
      </c>
      <c r="G29" s="25">
        <f>-SUMIF('1.2 FY2017'!$B:$B,'2.1 Database'!B29,'1.2 FY2017'!$F:$F)</f>
        <v>-9793.84</v>
      </c>
      <c r="H29" s="25">
        <f>-SUMIF('1.3 FY2018'!$B:$B,'2.1 Database'!B29,'1.3 FY2018'!$F:$F)</f>
        <v>15872.001999999999</v>
      </c>
      <c r="I29" s="2" t="s">
        <v>74</v>
      </c>
    </row>
    <row r="30" spans="2:9" x14ac:dyDescent="0.2">
      <c r="B30" s="6" t="s">
        <v>142</v>
      </c>
      <c r="C30" s="2" t="str">
        <f>VLOOKUP($B30,'1.1 FY2016'!$B$5:$E$61,2,FALSE)</f>
        <v>Marketing expenses</v>
      </c>
      <c r="D30" s="25">
        <f>VLOOKUP($B30,'1.1 FY2016'!$B$5:$E$61,3,FALSE)</f>
        <v>111111</v>
      </c>
      <c r="E30" s="25" t="str">
        <f>VLOOKUP($B30,'1.1 FY2016'!$B$5:$E$61,4,FALSE)</f>
        <v>External</v>
      </c>
      <c r="F30" s="25">
        <f>-SUMIF('1.1 FY2016'!$B:$B,'2.1 Database'!B30,'1.1 FY2016'!$F:$F)</f>
        <v>-22314.879999999997</v>
      </c>
      <c r="G30" s="25">
        <f>-SUMIF('1.2 FY2017'!$B:$B,'2.1 Database'!B30,'1.2 FY2017'!$F:$F)</f>
        <v>-65947.7</v>
      </c>
      <c r="H30" s="25">
        <f>-SUMIF('1.3 FY2018'!$B:$B,'2.1 Database'!B30,'1.3 FY2018'!$F:$F)</f>
        <v>-57.317999999999998</v>
      </c>
      <c r="I30" s="2" t="s">
        <v>224</v>
      </c>
    </row>
    <row r="31" spans="2:9" x14ac:dyDescent="0.2">
      <c r="B31" s="6" t="s">
        <v>143</v>
      </c>
      <c r="C31" s="2" t="str">
        <f>VLOOKUP($B31,'1.1 FY2016'!$B$5:$E$61,2,FALSE)</f>
        <v>Software&amp;IT</v>
      </c>
      <c r="D31" s="25">
        <f>VLOOKUP($B31,'1.1 FY2016'!$B$5:$E$61,3,FALSE)</f>
        <v>88</v>
      </c>
      <c r="E31" s="25" t="str">
        <f>VLOOKUP($B31,'1.1 FY2016'!$B$5:$E$61,4,FALSE)</f>
        <v>Generco Ltd</v>
      </c>
      <c r="F31" s="25">
        <f>-SUMIF('1.1 FY2016'!$B:$B,'2.1 Database'!B31,'1.1 FY2016'!$F:$F)</f>
        <v>-204000</v>
      </c>
      <c r="G31" s="25">
        <f>-SUMIF('1.2 FY2017'!$B:$B,'2.1 Database'!B31,'1.2 FY2017'!$F:$F)</f>
        <v>0</v>
      </c>
      <c r="H31" s="25">
        <f>-SUMIF('1.3 FY2018'!$B:$B,'2.1 Database'!B31,'1.3 FY2018'!$F:$F)</f>
        <v>0</v>
      </c>
      <c r="I31" s="2" t="s">
        <v>224</v>
      </c>
    </row>
    <row r="32" spans="2:9" x14ac:dyDescent="0.2">
      <c r="B32" s="6" t="s">
        <v>144</v>
      </c>
      <c r="C32" s="2" t="str">
        <f>VLOOKUP($B32,'1.1 FY2016'!$B$5:$E$61,2,FALSE)</f>
        <v>Software&amp;IT</v>
      </c>
      <c r="D32" s="25">
        <f>VLOOKUP($B32,'1.1 FY2016'!$B$5:$E$61,3,FALSE)</f>
        <v>111111</v>
      </c>
      <c r="E32" s="25" t="str">
        <f>VLOOKUP($B32,'1.1 FY2016'!$B$5:$E$61,4,FALSE)</f>
        <v>External</v>
      </c>
      <c r="F32" s="25">
        <f>-SUMIF('1.1 FY2016'!$B:$B,'2.1 Database'!B32,'1.1 FY2016'!$F:$F)</f>
        <v>-138.41399999999999</v>
      </c>
      <c r="G32" s="25">
        <f>-SUMIF('1.2 FY2017'!$B:$B,'2.1 Database'!B32,'1.2 FY2017'!$F:$F)</f>
        <v>-5138.91</v>
      </c>
      <c r="H32" s="25">
        <f>-SUMIF('1.3 FY2018'!$B:$B,'2.1 Database'!B32,'1.3 FY2018'!$F:$F)</f>
        <v>-19198.66</v>
      </c>
      <c r="I32" s="2" t="s">
        <v>224</v>
      </c>
    </row>
    <row r="33" spans="2:9" x14ac:dyDescent="0.2">
      <c r="B33" s="6" t="s">
        <v>145</v>
      </c>
      <c r="C33" s="2" t="str">
        <f>VLOOKUP($B33,'1.1 FY2016'!$B$5:$E$61,2,FALSE)</f>
        <v>Leasings</v>
      </c>
      <c r="D33" s="25">
        <f>VLOOKUP($B33,'1.1 FY2016'!$B$5:$E$61,3,FALSE)</f>
        <v>111111</v>
      </c>
      <c r="E33" s="25" t="str">
        <f>VLOOKUP($B33,'1.1 FY2016'!$B$5:$E$61,4,FALSE)</f>
        <v>External</v>
      </c>
      <c r="F33" s="25">
        <f>-SUMIF('1.1 FY2016'!$B:$B,'2.1 Database'!B33,'1.1 FY2016'!$F:$F)</f>
        <v>-1127445.872</v>
      </c>
      <c r="G33" s="25">
        <f>-SUMIF('1.2 FY2017'!$B:$B,'2.1 Database'!B33,'1.2 FY2017'!$F:$F)</f>
        <v>-1055381.4750000001</v>
      </c>
      <c r="H33" s="25">
        <f>-SUMIF('1.3 FY2018'!$B:$B,'2.1 Database'!B33,'1.3 FY2018'!$F:$F)</f>
        <v>172933.44899999999</v>
      </c>
      <c r="I33" s="2" t="s">
        <v>227</v>
      </c>
    </row>
    <row r="34" spans="2:9" x14ac:dyDescent="0.2">
      <c r="B34" s="6" t="s">
        <v>146</v>
      </c>
      <c r="C34" s="2" t="str">
        <f>VLOOKUP($B34,'1.1 FY2016'!$B$5:$E$61,2,FALSE)</f>
        <v>Service expenses</v>
      </c>
      <c r="D34" s="25" t="str">
        <f>VLOOKUP($B34,'1.1 FY2016'!$B$5:$E$61,3,FALSE)</f>
        <v>43</v>
      </c>
      <c r="E34" s="25" t="str">
        <f>VLOOKUP($B34,'1.1 FY2016'!$B$5:$E$61,4,FALSE)</f>
        <v>Greeny France SL</v>
      </c>
      <c r="F34" s="25">
        <f>-SUMIF('1.1 FY2016'!$B:$B,'2.1 Database'!B34,'1.1 FY2016'!$F:$F)</f>
        <v>-133722</v>
      </c>
      <c r="G34" s="25">
        <f>-SUMIF('1.2 FY2017'!$B:$B,'2.1 Database'!B34,'1.2 FY2017'!$F:$F)</f>
        <v>0</v>
      </c>
      <c r="H34" s="25">
        <f>-SUMIF('1.3 FY2018'!$B:$B,'2.1 Database'!B34,'1.3 FY2018'!$F:$F)</f>
        <v>0</v>
      </c>
      <c r="I34" s="2" t="s">
        <v>228</v>
      </c>
    </row>
    <row r="35" spans="2:9" x14ac:dyDescent="0.2">
      <c r="B35" s="6" t="s">
        <v>147</v>
      </c>
      <c r="C35" s="2" t="str">
        <f>VLOOKUP($B35,'1.1 FY2016'!$B$5:$E$61,2,FALSE)</f>
        <v>Service expenses</v>
      </c>
      <c r="D35" s="25" t="str">
        <f>VLOOKUP($B35,'1.1 FY2016'!$B$5:$E$61,3,FALSE)</f>
        <v>2240</v>
      </c>
      <c r="E35" s="25" t="str">
        <f>VLOOKUP($B35,'1.1 FY2016'!$B$5:$E$61,4,FALSE)</f>
        <v>Greeny Germany GmbH</v>
      </c>
      <c r="F35" s="25">
        <f>-SUMIF('1.1 FY2016'!$B:$B,'2.1 Database'!B35,'1.1 FY2016'!$F:$F)</f>
        <v>-328061.886</v>
      </c>
      <c r="G35" s="25">
        <f>-SUMIF('1.2 FY2017'!$B:$B,'2.1 Database'!B35,'1.2 FY2017'!$F:$F)</f>
        <v>-430845.34499999997</v>
      </c>
      <c r="H35" s="25">
        <f>-SUMIF('1.3 FY2018'!$B:$B,'2.1 Database'!B35,'1.3 FY2018'!$F:$F)</f>
        <v>0</v>
      </c>
      <c r="I35" s="2" t="s">
        <v>228</v>
      </c>
    </row>
    <row r="36" spans="2:9" x14ac:dyDescent="0.2">
      <c r="B36" s="6" t="s">
        <v>148</v>
      </c>
      <c r="C36" s="2" t="str">
        <f>VLOOKUP($B36,'1.1 FY2016'!$B$5:$E$61,2,FALSE)</f>
        <v>Service expenses</v>
      </c>
      <c r="D36" s="25">
        <f>VLOOKUP($B36,'1.1 FY2016'!$B$5:$E$61,3,FALSE)</f>
        <v>111111</v>
      </c>
      <c r="E36" s="25" t="str">
        <f>VLOOKUP($B36,'1.1 FY2016'!$B$5:$E$61,4,FALSE)</f>
        <v>External</v>
      </c>
      <c r="F36" s="25">
        <f>-SUMIF('1.1 FY2016'!$B:$B,'2.1 Database'!B36,'1.1 FY2016'!$F:$F)</f>
        <v>-2081304.3219999997</v>
      </c>
      <c r="G36" s="25">
        <f>-SUMIF('1.2 FY2017'!$B:$B,'2.1 Database'!B36,'1.2 FY2017'!$F:$F)</f>
        <v>-1130021</v>
      </c>
      <c r="H36" s="25">
        <f>-SUMIF('1.3 FY2018'!$B:$B,'2.1 Database'!B36,'1.3 FY2018'!$F:$F)</f>
        <v>-1481408.47</v>
      </c>
      <c r="I36" s="2" t="s">
        <v>228</v>
      </c>
    </row>
    <row r="37" spans="2:9" x14ac:dyDescent="0.2">
      <c r="B37" s="6" t="s">
        <v>149</v>
      </c>
      <c r="C37" s="2" t="str">
        <f>VLOOKUP($B37,'1.1 FY2016'!$B$5:$E$61,2,FALSE)</f>
        <v>Charges and contributions</v>
      </c>
      <c r="D37" s="25">
        <f>VLOOKUP($B37,'1.1 FY2016'!$B$5:$E$61,3,FALSE)</f>
        <v>111111</v>
      </c>
      <c r="E37" s="25" t="str">
        <f>VLOOKUP($B37,'1.1 FY2016'!$B$5:$E$61,4,FALSE)</f>
        <v>External</v>
      </c>
      <c r="F37" s="25">
        <f>-SUMIF('1.1 FY2016'!$B:$B,'2.1 Database'!B37,'1.1 FY2016'!$F:$F)</f>
        <v>-33410.031999999999</v>
      </c>
      <c r="G37" s="25">
        <f>-SUMIF('1.2 FY2017'!$B:$B,'2.1 Database'!B37,'1.2 FY2017'!$F:$F)</f>
        <v>-7293.5450000000001</v>
      </c>
      <c r="H37" s="25">
        <f>-SUMIF('1.3 FY2018'!$B:$B,'2.1 Database'!B37,'1.3 FY2018'!$F:$F)</f>
        <v>-40048.799999999996</v>
      </c>
      <c r="I37" s="2" t="s">
        <v>224</v>
      </c>
    </row>
    <row r="38" spans="2:9" x14ac:dyDescent="0.2">
      <c r="B38" s="6" t="s">
        <v>150</v>
      </c>
      <c r="C38" s="2" t="str">
        <f>VLOOKUP($B38,'1.1 FY2016'!$B$5:$E$61,2,FALSE)</f>
        <v>Insurance expenses</v>
      </c>
      <c r="D38" s="25">
        <f>VLOOKUP($B38,'1.1 FY2016'!$B$5:$E$61,3,FALSE)</f>
        <v>111111</v>
      </c>
      <c r="E38" s="25" t="str">
        <f>VLOOKUP($B38,'1.1 FY2016'!$B$5:$E$61,4,FALSE)</f>
        <v>External</v>
      </c>
      <c r="F38" s="25">
        <f>-SUMIF('1.1 FY2016'!$B:$B,'2.1 Database'!B38,'1.1 FY2016'!$F:$F)</f>
        <v>-213090.85199999998</v>
      </c>
      <c r="G38" s="25">
        <f>-SUMIF('1.2 FY2017'!$B:$B,'2.1 Database'!B38,'1.2 FY2017'!$F:$F)</f>
        <v>-48468.665000000001</v>
      </c>
      <c r="H38" s="25">
        <f>-SUMIF('1.3 FY2018'!$B:$B,'2.1 Database'!B38,'1.3 FY2018'!$F:$F)</f>
        <v>-64039.82699999999</v>
      </c>
      <c r="I38" s="2" t="s">
        <v>224</v>
      </c>
    </row>
    <row r="39" spans="2:9" x14ac:dyDescent="0.2">
      <c r="B39" s="6" t="s">
        <v>151</v>
      </c>
      <c r="C39" s="2" t="str">
        <f>VLOOKUP($B39,'1.1 FY2016'!$B$5:$E$61,2,FALSE)</f>
        <v>Travel expenses</v>
      </c>
      <c r="D39" s="25">
        <f>VLOOKUP($B39,'1.1 FY2016'!$B$5:$E$61,3,FALSE)</f>
        <v>111111</v>
      </c>
      <c r="E39" s="25" t="str">
        <f>VLOOKUP($B39,'1.1 FY2016'!$B$5:$E$61,4,FALSE)</f>
        <v>External</v>
      </c>
      <c r="F39" s="25">
        <f>-SUMIF('1.1 FY2016'!$B:$B,'2.1 Database'!B39,'1.1 FY2016'!$F:$F)</f>
        <v>-1813525.004</v>
      </c>
      <c r="G39" s="25">
        <f>-SUMIF('1.2 FY2017'!$B:$B,'2.1 Database'!B39,'1.2 FY2017'!$F:$F)</f>
        <v>-2393259.19</v>
      </c>
      <c r="H39" s="25">
        <f>-SUMIF('1.3 FY2018'!$B:$B,'2.1 Database'!B39,'1.3 FY2018'!$F:$F)</f>
        <v>-2514431.8869999996</v>
      </c>
      <c r="I39" s="2" t="s">
        <v>229</v>
      </c>
    </row>
    <row r="40" spans="2:9" x14ac:dyDescent="0.2">
      <c r="B40" s="6" t="s">
        <v>152</v>
      </c>
      <c r="C40" s="2" t="str">
        <f>VLOOKUP($B40,'1.1 FY2016'!$B$5:$E$61,2,FALSE)</f>
        <v>Utility expenses</v>
      </c>
      <c r="D40" s="25">
        <f>VLOOKUP($B40,'1.1 FY2016'!$B$5:$E$61,3,FALSE)</f>
        <v>111111</v>
      </c>
      <c r="E40" s="25" t="str">
        <f>VLOOKUP($B40,'1.1 FY2016'!$B$5:$E$61,4,FALSE)</f>
        <v>External</v>
      </c>
      <c r="F40" s="25">
        <f>-SUMIF('1.1 FY2016'!$B:$B,'2.1 Database'!B40,'1.1 FY2016'!$F:$F)</f>
        <v>-5552.2</v>
      </c>
      <c r="G40" s="25">
        <f>-SUMIF('1.2 FY2017'!$B:$B,'2.1 Database'!B40,'1.2 FY2017'!$F:$F)</f>
        <v>-23069.654999999999</v>
      </c>
      <c r="H40" s="25">
        <f>-SUMIF('1.3 FY2018'!$B:$B,'2.1 Database'!B40,'1.3 FY2018'!$F:$F)</f>
        <v>-4194.2999999999993</v>
      </c>
      <c r="I40" s="2" t="s">
        <v>224</v>
      </c>
    </row>
    <row r="41" spans="2:9" x14ac:dyDescent="0.2">
      <c r="B41" s="6" t="s">
        <v>153</v>
      </c>
      <c r="C41" s="2" t="str">
        <f>VLOOKUP($B41,'1.1 FY2016'!$B$5:$E$61,2,FALSE)</f>
        <v>Legal expenses</v>
      </c>
      <c r="D41" s="25">
        <f>VLOOKUP($B41,'1.1 FY2016'!$B$5:$E$61,3,FALSE)</f>
        <v>111111</v>
      </c>
      <c r="E41" s="25" t="str">
        <f>VLOOKUP($B41,'1.1 FY2016'!$B$5:$E$61,4,FALSE)</f>
        <v>External</v>
      </c>
      <c r="F41" s="25">
        <f>-SUMIF('1.1 FY2016'!$B:$B,'2.1 Database'!B41,'1.1 FY2016'!$F:$F)</f>
        <v>-43868.975999999995</v>
      </c>
      <c r="G41" s="25">
        <f>-SUMIF('1.2 FY2017'!$B:$B,'2.1 Database'!B41,'1.2 FY2017'!$F:$F)</f>
        <v>-208366.935</v>
      </c>
      <c r="H41" s="25">
        <f>-SUMIF('1.3 FY2018'!$B:$B,'2.1 Database'!B41,'1.3 FY2018'!$F:$F)</f>
        <v>-106525.708</v>
      </c>
      <c r="I41" s="2" t="s">
        <v>224</v>
      </c>
    </row>
    <row r="42" spans="2:9" x14ac:dyDescent="0.2">
      <c r="B42" s="6" t="s">
        <v>154</v>
      </c>
      <c r="C42" s="2" t="str">
        <f>VLOOKUP($B42,'1.1 FY2016'!$B$5:$E$61,2,FALSE)</f>
        <v>Misc costs</v>
      </c>
      <c r="D42" s="25">
        <f>VLOOKUP($B42,'1.1 FY2016'!$B$5:$E$61,3,FALSE)</f>
        <v>111101</v>
      </c>
      <c r="E42" s="25" t="str">
        <f>VLOOKUP($B42,'1.1 FY2016'!$B$5:$E$61,4,FALSE)</f>
        <v>Not assigned</v>
      </c>
      <c r="F42" s="25">
        <f>-SUMIF('1.1 FY2016'!$B:$B,'2.1 Database'!B42,'1.1 FY2016'!$F:$F)</f>
        <v>-10934.671999999999</v>
      </c>
      <c r="G42" s="25">
        <f>-SUMIF('1.2 FY2017'!$B:$B,'2.1 Database'!B42,'1.2 FY2017'!$F:$F)</f>
        <v>-20323.309999999998</v>
      </c>
      <c r="H42" s="25">
        <f>-SUMIF('1.3 FY2018'!$B:$B,'2.1 Database'!B42,'1.3 FY2018'!$F:$F)</f>
        <v>-109811.284</v>
      </c>
      <c r="I42" s="2" t="s">
        <v>224</v>
      </c>
    </row>
    <row r="43" spans="2:9" x14ac:dyDescent="0.2">
      <c r="B43" s="6" t="s">
        <v>155</v>
      </c>
      <c r="C43" s="2" t="str">
        <f>VLOOKUP($B43,'1.1 FY2016'!$B$5:$E$61,2,FALSE)</f>
        <v>Consulting fees</v>
      </c>
      <c r="D43" s="25">
        <f>VLOOKUP($B43,'1.1 FY2016'!$B$5:$E$61,3,FALSE)</f>
        <v>111111</v>
      </c>
      <c r="E43" s="25" t="str">
        <f>VLOOKUP($B43,'1.1 FY2016'!$B$5:$E$61,4,FALSE)</f>
        <v>External</v>
      </c>
      <c r="F43" s="25">
        <f>-SUMIF('1.1 FY2016'!$B:$B,'2.1 Database'!B43,'1.1 FY2016'!$F:$F)</f>
        <v>-20400</v>
      </c>
      <c r="G43" s="25">
        <f>-SUMIF('1.2 FY2017'!$B:$B,'2.1 Database'!B43,'1.2 FY2017'!$F:$F)</f>
        <v>-169489</v>
      </c>
      <c r="H43" s="25">
        <f>-SUMIF('1.3 FY2018'!$B:$B,'2.1 Database'!B43,'1.3 FY2018'!$F:$F)</f>
        <v>-61111.483999999997</v>
      </c>
      <c r="I43" s="2" t="s">
        <v>224</v>
      </c>
    </row>
    <row r="44" spans="2:9" x14ac:dyDescent="0.2">
      <c r="B44" s="6" t="s">
        <v>156</v>
      </c>
      <c r="C44" s="2" t="str">
        <f>VLOOKUP($B44,'1.1 FY2016'!$B$5:$E$61,2,FALSE)</f>
        <v>Misc extraordinary expenses</v>
      </c>
      <c r="D44" s="25">
        <f>VLOOKUP($B44,'1.1 FY2016'!$B$5:$E$61,3,FALSE)</f>
        <v>105</v>
      </c>
      <c r="E44" s="25" t="str">
        <f>VLOOKUP($B44,'1.1 FY2016'!$B$5:$E$61,4,FALSE)</f>
        <v>Generco Healthcare Ltd</v>
      </c>
      <c r="F44" s="25">
        <f>-SUMIF('1.1 FY2016'!$B:$B,'2.1 Database'!B44,'1.1 FY2016'!$F:$F)</f>
        <v>0</v>
      </c>
      <c r="G44" s="25">
        <f>-SUMIF('1.2 FY2017'!$B:$B,'2.1 Database'!B44,'1.2 FY2017'!$F:$F)</f>
        <v>0</v>
      </c>
      <c r="H44" s="25">
        <f>-SUMIF('1.3 FY2018'!$B:$B,'2.1 Database'!B44,'1.3 FY2018'!$F:$F)</f>
        <v>-1684415.2999999998</v>
      </c>
      <c r="I44" s="2" t="s">
        <v>224</v>
      </c>
    </row>
    <row r="45" spans="2:9" x14ac:dyDescent="0.2">
      <c r="B45" s="6" t="s">
        <v>157</v>
      </c>
      <c r="C45" s="2" t="str">
        <f>VLOOKUP($B45,'1.1 FY2016'!$B$5:$E$61,2,FALSE)</f>
        <v>Misc extraordinary expenses</v>
      </c>
      <c r="D45" s="25">
        <f>VLOOKUP($B45,'1.1 FY2016'!$B$5:$E$61,3,FALSE)</f>
        <v>111111</v>
      </c>
      <c r="E45" s="25" t="str">
        <f>VLOOKUP($B45,'1.1 FY2016'!$B$5:$E$61,4,FALSE)</f>
        <v>External</v>
      </c>
      <c r="F45" s="25">
        <f>-SUMIF('1.1 FY2016'!$B:$B,'2.1 Database'!B45,'1.1 FY2016'!$F:$F)</f>
        <v>-563918.152</v>
      </c>
      <c r="G45" s="25">
        <f>-SUMIF('1.2 FY2017'!$B:$B,'2.1 Database'!B45,'1.2 FY2017'!$F:$F)</f>
        <v>-638869.13</v>
      </c>
      <c r="H45" s="25">
        <f>-SUMIF('1.3 FY2018'!$B:$B,'2.1 Database'!B45,'1.3 FY2018'!$F:$F)</f>
        <v>-575626.2649999999</v>
      </c>
      <c r="I45" s="2" t="s">
        <v>224</v>
      </c>
    </row>
    <row r="46" spans="2:9" x14ac:dyDescent="0.2">
      <c r="B46" s="6" t="s">
        <v>158</v>
      </c>
      <c r="C46" s="2" t="str">
        <f>VLOOKUP($B46,'1.1 FY2016'!$B$5:$E$61,2,FALSE)</f>
        <v>Difference from eliminations</v>
      </c>
      <c r="D46" s="25">
        <f>VLOOKUP($B46,'1.1 FY2016'!$B$5:$E$61,3,FALSE)</f>
        <v>1009</v>
      </c>
      <c r="E46" s="25" t="str">
        <f>VLOOKUP($B46,'1.1 FY2016'!$B$5:$E$61,4,FALSE)</f>
        <v>Green Ventures Ltd</v>
      </c>
      <c r="F46" s="25">
        <f>-SUMIF('1.1 FY2016'!$B:$B,'2.1 Database'!B46,'1.1 FY2016'!$F:$F)</f>
        <v>0</v>
      </c>
      <c r="G46" s="25">
        <f>-SUMIF('1.2 FY2017'!$B:$B,'2.1 Database'!B46,'1.2 FY2017'!$F:$F)</f>
        <v>0</v>
      </c>
      <c r="H46" s="25">
        <f>-SUMIF('1.3 FY2018'!$B:$B,'2.1 Database'!B46,'1.3 FY2018'!$F:$F)</f>
        <v>0</v>
      </c>
    </row>
    <row r="47" spans="2:9" x14ac:dyDescent="0.2">
      <c r="B47" s="6" t="s">
        <v>159</v>
      </c>
      <c r="C47" s="2" t="str">
        <f>VLOOKUP($B47,'1.1 FY2016'!$B$5:$E$61,2,FALSE)</f>
        <v>Difference from eliminations</v>
      </c>
      <c r="D47" s="25">
        <f>VLOOKUP($B47,'1.1 FY2016'!$B$5:$E$61,3,FALSE)</f>
        <v>1007</v>
      </c>
      <c r="E47" s="25" t="str">
        <f>VLOOKUP($B47,'1.1 FY2016'!$B$5:$E$61,4,FALSE)</f>
        <v>Generco Sunshine JSC</v>
      </c>
      <c r="F47" s="25">
        <f>-SUMIF('1.1 FY2016'!$B:$B,'2.1 Database'!B47,'1.1 FY2016'!$F:$F)</f>
        <v>0</v>
      </c>
      <c r="G47" s="25">
        <f>-SUMIF('1.2 FY2017'!$B:$B,'2.1 Database'!B47,'1.2 FY2017'!$F:$F)</f>
        <v>0</v>
      </c>
      <c r="H47" s="25">
        <f>-SUMIF('1.3 FY2018'!$B:$B,'2.1 Database'!B47,'1.3 FY2018'!$F:$F)</f>
        <v>0</v>
      </c>
    </row>
    <row r="48" spans="2:9" x14ac:dyDescent="0.2">
      <c r="B48" s="6" t="s">
        <v>160</v>
      </c>
      <c r="C48" s="2" t="str">
        <f>VLOOKUP($B48,'1.1 FY2016'!$B$5:$E$61,2,FALSE)</f>
        <v>Difference from eliminations</v>
      </c>
      <c r="D48" s="25">
        <f>VLOOKUP($B48,'1.1 FY2016'!$B$5:$E$61,3,FALSE)</f>
        <v>1008</v>
      </c>
      <c r="E48" s="25" t="str">
        <f>VLOOKUP($B48,'1.1 FY2016'!$B$5:$E$61,4,FALSE)</f>
        <v>Greenco Ltd</v>
      </c>
      <c r="F48" s="25">
        <f>-SUMIF('1.1 FY2016'!$B:$B,'2.1 Database'!B48,'1.1 FY2016'!$F:$F)</f>
        <v>0</v>
      </c>
      <c r="G48" s="25">
        <f>-SUMIF('1.2 FY2017'!$B:$B,'2.1 Database'!B48,'1.2 FY2017'!$F:$F)</f>
        <v>0</v>
      </c>
      <c r="H48" s="25">
        <f>-SUMIF('1.3 FY2018'!$B:$B,'2.1 Database'!B48,'1.3 FY2018'!$F:$F)</f>
        <v>0</v>
      </c>
    </row>
    <row r="49" spans="2:9" x14ac:dyDescent="0.2">
      <c r="B49" s="6" t="s">
        <v>161</v>
      </c>
      <c r="C49" s="2" t="str">
        <f>VLOOKUP($B49,'1.1 FY2016'!$B$5:$E$61,2,FALSE)</f>
        <v>Interest income</v>
      </c>
      <c r="D49" s="25">
        <f>VLOOKUP($B49,'1.1 FY2016'!$B$5:$E$61,3,FALSE)</f>
        <v>1009</v>
      </c>
      <c r="E49" s="25" t="str">
        <f>VLOOKUP($B49,'1.1 FY2016'!$B$5:$E$61,4,FALSE)</f>
        <v>Green Ventures Ltd</v>
      </c>
      <c r="F49" s="25">
        <f>-SUMIF('1.1 FY2016'!$B:$B,'2.1 Database'!B49,'1.1 FY2016'!$F:$F)</f>
        <v>0</v>
      </c>
      <c r="G49" s="25">
        <f>-SUMIF('1.2 FY2017'!$B:$B,'2.1 Database'!B49,'1.2 FY2017'!$F:$F)</f>
        <v>0</v>
      </c>
      <c r="H49" s="25">
        <f>-SUMIF('1.3 FY2018'!$B:$B,'2.1 Database'!B49,'1.3 FY2018'!$F:$F)</f>
        <v>0</v>
      </c>
      <c r="I49" s="2" t="s">
        <v>230</v>
      </c>
    </row>
    <row r="50" spans="2:9" x14ac:dyDescent="0.2">
      <c r="B50" s="6" t="s">
        <v>162</v>
      </c>
      <c r="C50" s="2" t="str">
        <f>VLOOKUP($B50,'1.1 FY2016'!$B$5:$E$61,2,FALSE)</f>
        <v>Interest income</v>
      </c>
      <c r="D50" s="25">
        <f>VLOOKUP($B50,'1.1 FY2016'!$B$5:$E$61,3,FALSE)</f>
        <v>1007</v>
      </c>
      <c r="E50" s="25" t="str">
        <f>VLOOKUP($B50,'1.1 FY2016'!$B$5:$E$61,4,FALSE)</f>
        <v>Generco Sunshine JSC</v>
      </c>
      <c r="F50" s="25">
        <f>-SUMIF('1.1 FY2016'!$B:$B,'2.1 Database'!B50,'1.1 FY2016'!$F:$F)</f>
        <v>0</v>
      </c>
      <c r="G50" s="25">
        <f>-SUMIF('1.2 FY2017'!$B:$B,'2.1 Database'!B50,'1.2 FY2017'!$F:$F)</f>
        <v>0</v>
      </c>
      <c r="H50" s="25">
        <f>-SUMIF('1.3 FY2018'!$B:$B,'2.1 Database'!B50,'1.3 FY2018'!$F:$F)</f>
        <v>0</v>
      </c>
      <c r="I50" s="2" t="s">
        <v>230</v>
      </c>
    </row>
    <row r="51" spans="2:9" x14ac:dyDescent="0.2">
      <c r="B51" s="6" t="s">
        <v>163</v>
      </c>
      <c r="C51" s="2" t="str">
        <f>VLOOKUP($B51,'1.1 FY2016'!$B$5:$E$61,2,FALSE)</f>
        <v>Interest income</v>
      </c>
      <c r="D51" s="25">
        <f>VLOOKUP($B51,'1.1 FY2016'!$B$5:$E$61,3,FALSE)</f>
        <v>1008</v>
      </c>
      <c r="E51" s="25" t="str">
        <f>VLOOKUP($B51,'1.1 FY2016'!$B$5:$E$61,4,FALSE)</f>
        <v>Greenco Ltd</v>
      </c>
      <c r="F51" s="25">
        <f>-SUMIF('1.1 FY2016'!$B:$B,'2.1 Database'!B51,'1.1 FY2016'!$F:$F)</f>
        <v>0</v>
      </c>
      <c r="G51" s="25">
        <f>-SUMIF('1.2 FY2017'!$B:$B,'2.1 Database'!B51,'1.2 FY2017'!$F:$F)</f>
        <v>0</v>
      </c>
      <c r="H51" s="25">
        <f>-SUMIF('1.3 FY2018'!$B:$B,'2.1 Database'!B51,'1.3 FY2018'!$F:$F)</f>
        <v>0</v>
      </c>
      <c r="I51" s="2" t="s">
        <v>230</v>
      </c>
    </row>
    <row r="52" spans="2:9" x14ac:dyDescent="0.2">
      <c r="B52" s="6" t="s">
        <v>164</v>
      </c>
      <c r="C52" s="2" t="str">
        <f>VLOOKUP($B52,'1.1 FY2016'!$B$5:$E$61,2,FALSE)</f>
        <v>Interest income</v>
      </c>
      <c r="D52" s="25">
        <f>VLOOKUP($B52,'1.1 FY2016'!$B$5:$E$61,3,FALSE)</f>
        <v>1240</v>
      </c>
      <c r="E52" s="25" t="str">
        <f>VLOOKUP($B52,'1.1 FY2016'!$B$5:$E$61,4,FALSE)</f>
        <v xml:space="preserve">Generco UK </v>
      </c>
      <c r="F52" s="25">
        <f>-SUMIF('1.1 FY2016'!$B:$B,'2.1 Database'!B52,'1.1 FY2016'!$F:$F)</f>
        <v>35810.228000000003</v>
      </c>
      <c r="G52" s="25">
        <f>-SUMIF('1.2 FY2017'!$B:$B,'2.1 Database'!B52,'1.2 FY2017'!$F:$F)</f>
        <v>34224.959999999999</v>
      </c>
      <c r="H52" s="25">
        <f>-SUMIF('1.3 FY2018'!$B:$B,'2.1 Database'!B52,'1.3 FY2018'!$F:$F)</f>
        <v>0</v>
      </c>
      <c r="I52" s="2" t="s">
        <v>230</v>
      </c>
    </row>
    <row r="53" spans="2:9" x14ac:dyDescent="0.2">
      <c r="B53" s="6" t="s">
        <v>165</v>
      </c>
      <c r="C53" s="2" t="str">
        <f>VLOOKUP($B53,'1.1 FY2016'!$B$5:$E$61,2,FALSE)</f>
        <v>Interest income</v>
      </c>
      <c r="D53" s="25">
        <f>VLOOKUP($B53,'1.1 FY2016'!$B$5:$E$61,3,FALSE)</f>
        <v>111111</v>
      </c>
      <c r="E53" s="25" t="str">
        <f>VLOOKUP($B53,'1.1 FY2016'!$B$5:$E$61,4,FALSE)</f>
        <v>External</v>
      </c>
      <c r="F53" s="25">
        <f>-SUMIF('1.1 FY2016'!$B:$B,'2.1 Database'!B53,'1.1 FY2016'!$F:$F)</f>
        <v>51927.417999999998</v>
      </c>
      <c r="G53" s="25">
        <f>-SUMIF('1.2 FY2017'!$B:$B,'2.1 Database'!B53,'1.2 FY2017'!$F:$F)</f>
        <v>2204.7199999999998</v>
      </c>
      <c r="H53" s="25">
        <f>-SUMIF('1.3 FY2018'!$B:$B,'2.1 Database'!B53,'1.3 FY2018'!$F:$F)</f>
        <v>73809.511999999988</v>
      </c>
      <c r="I53" s="2" t="s">
        <v>230</v>
      </c>
    </row>
    <row r="54" spans="2:9" x14ac:dyDescent="0.2">
      <c r="B54" s="6" t="s">
        <v>166</v>
      </c>
      <c r="C54" s="2" t="str">
        <f>VLOOKUP($B54,'1.1 FY2016'!$B$5:$E$61,2,FALSE)</f>
        <v>Capitalized interest</v>
      </c>
      <c r="D54" s="25">
        <f>VLOOKUP($B54,'1.1 FY2016'!$B$5:$E$61,3,FALSE)</f>
        <v>111101</v>
      </c>
      <c r="E54" s="25" t="str">
        <f>VLOOKUP($B54,'1.1 FY2016'!$B$5:$E$61,4,FALSE)</f>
        <v>Not assigned</v>
      </c>
      <c r="F54" s="25">
        <f>-SUMIF('1.1 FY2016'!$B:$B,'2.1 Database'!B54,'1.1 FY2016'!$F:$F)</f>
        <v>862270.63399999996</v>
      </c>
      <c r="G54" s="25">
        <f>-SUMIF('1.2 FY2017'!$B:$B,'2.1 Database'!B54,'1.2 FY2017'!$F:$F)</f>
        <v>0</v>
      </c>
      <c r="H54" s="25">
        <f>-SUMIF('1.3 FY2018'!$B:$B,'2.1 Database'!B54,'1.3 FY2018'!$F:$F)</f>
        <v>0</v>
      </c>
      <c r="I54" s="2" t="s">
        <v>67</v>
      </c>
    </row>
    <row r="55" spans="2:9" x14ac:dyDescent="0.2">
      <c r="B55" s="6" t="s">
        <v>167</v>
      </c>
      <c r="C55" s="2" t="str">
        <f>VLOOKUP($B55,'1.1 FY2016'!$B$5:$E$61,2,FALSE)</f>
        <v>Non-recurring costs</v>
      </c>
      <c r="D55" s="25">
        <f>VLOOKUP($B55,'1.1 FY2016'!$B$5:$E$61,3,FALSE)</f>
        <v>111101</v>
      </c>
      <c r="E55" s="25" t="str">
        <f>VLOOKUP($B55,'1.1 FY2016'!$B$5:$E$61,4,FALSE)</f>
        <v>Not assigned</v>
      </c>
      <c r="F55" s="25">
        <f>-SUMIF('1.1 FY2016'!$B:$B,'2.1 Database'!B55,'1.1 FY2016'!$F:$F)</f>
        <v>-22763</v>
      </c>
      <c r="G55" s="25">
        <f>-SUMIF('1.2 FY2017'!$B:$B,'2.1 Database'!B55,'1.2 FY2017'!$F:$F)</f>
        <v>-80617.179999999993</v>
      </c>
      <c r="H55" s="25">
        <f>-SUMIF('1.3 FY2018'!$B:$B,'2.1 Database'!B55,'1.3 FY2018'!$F:$F)</f>
        <v>-7173.195999999999</v>
      </c>
      <c r="I55" s="2" t="s">
        <v>231</v>
      </c>
    </row>
    <row r="56" spans="2:9" x14ac:dyDescent="0.2">
      <c r="B56" s="6" t="s">
        <v>168</v>
      </c>
      <c r="C56" s="2" t="str">
        <f>VLOOKUP($B56,'1.1 FY2016'!$B$5:$E$61,2,FALSE)</f>
        <v>Interest expenses</v>
      </c>
      <c r="D56" s="25">
        <f>VLOOKUP($B56,'1.1 FY2016'!$B$5:$E$61,3,FALSE)</f>
        <v>88</v>
      </c>
      <c r="E56" s="25" t="str">
        <f>VLOOKUP($B56,'1.1 FY2016'!$B$5:$E$61,4,FALSE)</f>
        <v>Generco Ltd</v>
      </c>
      <c r="F56" s="25">
        <f>-SUMIF('1.1 FY2016'!$B:$B,'2.1 Database'!B56,'1.1 FY2016'!$F:$F)</f>
        <v>-2930430.0120000001</v>
      </c>
      <c r="G56" s="25">
        <f>-SUMIF('1.2 FY2017'!$B:$B,'2.1 Database'!B56,'1.2 FY2017'!$F:$F)</f>
        <v>-2752704.22</v>
      </c>
      <c r="H56" s="25">
        <f>-SUMIF('1.3 FY2018'!$B:$B,'2.1 Database'!B56,'1.3 FY2018'!$F:$F)</f>
        <v>-2324465.8859999999</v>
      </c>
      <c r="I56" s="2" t="s">
        <v>230</v>
      </c>
    </row>
    <row r="57" spans="2:9" x14ac:dyDescent="0.2">
      <c r="B57" s="6" t="s">
        <v>169</v>
      </c>
      <c r="C57" s="2" t="str">
        <f>VLOOKUP($B57,'1.1 FY2016'!$B$5:$E$61,2,FALSE)</f>
        <v>Current taxes</v>
      </c>
      <c r="D57" s="25">
        <f>VLOOKUP($B57,'1.1 FY2016'!$B$5:$E$61,3,FALSE)</f>
        <v>111101</v>
      </c>
      <c r="E57" s="25" t="str">
        <f>VLOOKUP($B57,'1.1 FY2016'!$B$5:$E$61,4,FALSE)</f>
        <v>Not assigned</v>
      </c>
      <c r="F57" s="25">
        <f>-SUMIF('1.1 FY2016'!$B:$B,'2.1 Database'!B57,'1.1 FY2016'!$F:$F)</f>
        <v>49378.641999999993</v>
      </c>
      <c r="G57" s="25">
        <f>-SUMIF('1.2 FY2017'!$B:$B,'2.1 Database'!B57,'1.2 FY2017'!$F:$F)</f>
        <v>-496748.70000000007</v>
      </c>
      <c r="H57" s="25">
        <f>-SUMIF('1.3 FY2018'!$B:$B,'2.1 Database'!B57,'1.3 FY2018'!$F:$F)</f>
        <v>-2558.1950000000002</v>
      </c>
      <c r="I57" s="2" t="s">
        <v>232</v>
      </c>
    </row>
    <row r="58" spans="2:9" x14ac:dyDescent="0.2">
      <c r="B58" s="6" t="s">
        <v>170</v>
      </c>
      <c r="C58" s="2" t="str">
        <f>VLOOKUP($B58,'1.1 FY2016'!$B$5:$E$61,2,FALSE)</f>
        <v>Regional taxes</v>
      </c>
      <c r="D58" s="25">
        <f>VLOOKUP($B58,'1.1 FY2016'!$B$5:$E$61,3,FALSE)</f>
        <v>111101</v>
      </c>
      <c r="E58" s="25" t="str">
        <f>VLOOKUP($B58,'1.1 FY2016'!$B$5:$E$61,4,FALSE)</f>
        <v>Not assigned</v>
      </c>
      <c r="F58" s="25">
        <f>-SUMIF('1.1 FY2016'!$B:$B,'2.1 Database'!B58,'1.1 FY2016'!$F:$F)</f>
        <v>-516250.67</v>
      </c>
      <c r="G58" s="25">
        <f>-SUMIF('1.2 FY2017'!$B:$B,'2.1 Database'!B58,'1.2 FY2017'!$F:$F)</f>
        <v>-480872.96000000002</v>
      </c>
      <c r="H58" s="25">
        <f>-SUMIF('1.3 FY2018'!$B:$B,'2.1 Database'!B58,'1.3 FY2018'!$F:$F)</f>
        <v>-522710.353</v>
      </c>
      <c r="I58" s="2" t="s">
        <v>232</v>
      </c>
    </row>
    <row r="59" spans="2:9" x14ac:dyDescent="0.2">
      <c r="B59" s="6" t="s">
        <v>171</v>
      </c>
      <c r="C59" s="2" t="str">
        <f>VLOOKUP($B59,'1.1 FY2016'!$B$5:$E$61,2,FALSE)</f>
        <v>Deferred taxes</v>
      </c>
      <c r="D59" s="25">
        <f>VLOOKUP($B59,'1.1 FY2016'!$B$5:$E$61,3,FALSE)</f>
        <v>111101</v>
      </c>
      <c r="E59" s="25" t="str">
        <f>VLOOKUP($B59,'1.1 FY2016'!$B$5:$E$61,4,FALSE)</f>
        <v>Not assigned</v>
      </c>
      <c r="F59" s="25">
        <f>-SUMIF('1.1 FY2016'!$B:$B,'2.1 Database'!B59,'1.1 FY2016'!$F:$F)</f>
        <v>-21593.093999999997</v>
      </c>
      <c r="G59" s="25">
        <f>-SUMIF('1.2 FY2017'!$B:$B,'2.1 Database'!B59,'1.2 FY2017'!$F:$F)</f>
        <v>-6570.3050000000003</v>
      </c>
      <c r="H59" s="25">
        <f>-SUMIF('1.3 FY2018'!$B:$B,'2.1 Database'!B59,'1.3 FY2018'!$F:$F)</f>
        <v>160303.52199999997</v>
      </c>
      <c r="I59" s="2" t="s">
        <v>232</v>
      </c>
    </row>
    <row r="60" spans="2:9" x14ac:dyDescent="0.2">
      <c r="B60" s="6" t="s">
        <v>172</v>
      </c>
      <c r="C60" s="2" t="str">
        <f>VLOOKUP($B60,'1.1 FY2016'!$B$5:$E$61,2,FALSE)</f>
        <v>Net income/(loss)</v>
      </c>
      <c r="D60" s="25">
        <f>VLOOKUP($B60,'1.1 FY2016'!$B$5:$E$61,3,FALSE)</f>
        <v>111101</v>
      </c>
      <c r="E60" s="25" t="str">
        <f>VLOOKUP($B60,'1.1 FY2016'!$B$5:$E$61,4,FALSE)</f>
        <v>Not assigned</v>
      </c>
      <c r="F60" s="25">
        <f>SUMIF('1.1 FY2016'!$B:$B,'2.1 Database'!B60,'1.1 FY2016'!$F:$F)</f>
        <v>-2904117.9939999986</v>
      </c>
      <c r="G60" s="25">
        <f>-SUMIF('1.2 FY2017'!$B:$B,'2.1 Database'!B60,'1.2 FY2017'!$F:$F)</f>
        <v>0</v>
      </c>
      <c r="H60" s="25">
        <f>-SUMIF('1.3 FY2018'!$B:$B,'2.1 Database'!B60,'1.3 FY2018'!$F:$F)</f>
        <v>0</v>
      </c>
      <c r="I60" s="2" t="s">
        <v>233</v>
      </c>
    </row>
    <row r="61" spans="2:9" x14ac:dyDescent="0.2">
      <c r="B61" s="2" t="s">
        <v>173</v>
      </c>
      <c r="C61" s="2" t="str">
        <f>VLOOKUP($B61,'1.2 FY2017'!$B$5:$E$86,2,FALSE)</f>
        <v>Core business revenues</v>
      </c>
      <c r="D61" s="25">
        <f>VLOOKUP($B61,'1.2 FY2017'!$B$5:$E$86,3,FALSE)</f>
        <v>105</v>
      </c>
      <c r="E61" s="25" t="str">
        <f>VLOOKUP($B61,'1.2 FY2017'!$B$5:$E$86,4,FALSE)</f>
        <v>Generco Healthcare Ltd</v>
      </c>
      <c r="F61" s="25">
        <f>-SUMIF('1.1 FY2016'!$B:$B,'2.1 Database'!B61,'1.1 FY2016'!$F:$F)</f>
        <v>0</v>
      </c>
      <c r="G61" s="25">
        <f>-SUMIF('1.2 FY2017'!$B:$B,'2.1 Database'!B61,'1.2 FY2017'!$F:$F)</f>
        <v>355396.61499999999</v>
      </c>
      <c r="H61" s="25">
        <f>-SUMIF('1.3 FY2018'!$B:$B,'2.1 Database'!B61,'1.3 FY2018'!$F:$F)</f>
        <v>616462.01899999997</v>
      </c>
      <c r="I61" s="2" t="s">
        <v>234</v>
      </c>
    </row>
    <row r="62" spans="2:9" x14ac:dyDescent="0.2">
      <c r="B62" s="2" t="s">
        <v>174</v>
      </c>
      <c r="C62" s="2" t="str">
        <f>VLOOKUP($B62,'1.2 FY2017'!$B$5:$E$86,2,FALSE)</f>
        <v>Capitalized costs</v>
      </c>
      <c r="D62" s="25" t="str">
        <f>VLOOKUP($B62,'1.2 FY2017'!$B$5:$E$86,3,FALSE)</f>
        <v>1086</v>
      </c>
      <c r="E62" s="25" t="str">
        <f>VLOOKUP($B62,'1.2 FY2017'!$B$5:$E$86,4,FALSE)</f>
        <v>G&amp;Resources Ltd</v>
      </c>
      <c r="F62" s="25">
        <f>-SUMIF('1.1 FY2016'!$B:$B,'2.1 Database'!B62,'1.1 FY2016'!$F:$F)</f>
        <v>0</v>
      </c>
      <c r="G62" s="25">
        <f>-SUMIF('1.2 FY2017'!$B:$B,'2.1 Database'!B62,'1.2 FY2017'!$F:$F)</f>
        <v>420017.14999999997</v>
      </c>
      <c r="H62" s="25">
        <f>-SUMIF('1.3 FY2018'!$B:$B,'2.1 Database'!B62,'1.3 FY2018'!$F:$F)</f>
        <v>0</v>
      </c>
      <c r="I62" s="2" t="s">
        <v>67</v>
      </c>
    </row>
    <row r="63" spans="2:9" x14ac:dyDescent="0.2">
      <c r="B63" s="2" t="s">
        <v>175</v>
      </c>
      <c r="C63" s="2" t="str">
        <f>VLOOKUP($B63,'1.2 FY2017'!$B$5:$E$86,2,FALSE)</f>
        <v>Utility charges</v>
      </c>
      <c r="D63" s="25">
        <f>VLOOKUP($B63,'1.2 FY2017'!$B$5:$E$86,3,FALSE)</f>
        <v>111111</v>
      </c>
      <c r="E63" s="25" t="str">
        <f>VLOOKUP($B63,'1.2 FY2017'!$B$5:$E$86,4,FALSE)</f>
        <v>External</v>
      </c>
      <c r="F63" s="25">
        <f>-SUMIF('1.1 FY2016'!$B:$B,'2.1 Database'!B63,'1.1 FY2016'!$F:$F)</f>
        <v>0</v>
      </c>
      <c r="G63" s="25">
        <f>-SUMIF('1.2 FY2017'!$B:$B,'2.1 Database'!B63,'1.2 FY2017'!$F:$F)</f>
        <v>-14589.33</v>
      </c>
      <c r="H63" s="25">
        <f>-SUMIF('1.3 FY2018'!$B:$B,'2.1 Database'!B63,'1.3 FY2018'!$F:$F)</f>
        <v>-20504.509999999998</v>
      </c>
      <c r="I63" s="2" t="s">
        <v>224</v>
      </c>
    </row>
    <row r="64" spans="2:9" x14ac:dyDescent="0.2">
      <c r="B64" s="2" t="s">
        <v>176</v>
      </c>
      <c r="C64" s="2" t="str">
        <f>VLOOKUP($B64,'1.2 FY2017'!$B$5:$E$86,2,FALSE)</f>
        <v>R&amp;D expenses</v>
      </c>
      <c r="D64" s="25">
        <f>VLOOKUP($B64,'1.2 FY2017'!$B$5:$E$86,3,FALSE)</f>
        <v>19</v>
      </c>
      <c r="E64" s="25" t="str">
        <f>VLOOKUP($B64,'1.2 FY2017'!$B$5:$E$86,4,FALSE)</f>
        <v>Generco Cosmetics Ltd</v>
      </c>
      <c r="F64" s="25">
        <f>-SUMIF('1.1 FY2016'!$B:$B,'2.1 Database'!B64,'1.1 FY2016'!$F:$F)</f>
        <v>0</v>
      </c>
      <c r="G64" s="25">
        <f>-SUMIF('1.2 FY2017'!$B:$B,'2.1 Database'!B64,'1.2 FY2017'!$F:$F)</f>
        <v>-38521</v>
      </c>
      <c r="H64" s="25">
        <f>-SUMIF('1.3 FY2018'!$B:$B,'2.1 Database'!B64,'1.3 FY2018'!$F:$F)</f>
        <v>0</v>
      </c>
      <c r="I64" s="2" t="s">
        <v>224</v>
      </c>
    </row>
    <row r="65" spans="2:9" x14ac:dyDescent="0.2">
      <c r="B65" s="2" t="s">
        <v>177</v>
      </c>
      <c r="C65" s="2" t="str">
        <f>VLOOKUP($B65,'1.2 FY2017'!$B$5:$E$86,2,FALSE)</f>
        <v>R&amp;D expenses</v>
      </c>
      <c r="D65" s="25" t="str">
        <f>VLOOKUP($B65,'1.2 FY2017'!$B$5:$E$86,3,FALSE)</f>
        <v>1283</v>
      </c>
      <c r="E65" s="25" t="str">
        <f>VLOOKUP($B65,'1.2 FY2017'!$B$5:$E$86,4,FALSE)</f>
        <v>Generco Ventures Ltd</v>
      </c>
      <c r="F65" s="25">
        <f>-SUMIF('1.1 FY2016'!$B:$B,'2.1 Database'!B65,'1.1 FY2016'!$F:$F)</f>
        <v>0</v>
      </c>
      <c r="G65" s="25">
        <f>-SUMIF('1.2 FY2017'!$B:$B,'2.1 Database'!B65,'1.2 FY2017'!$F:$F)</f>
        <v>-1820</v>
      </c>
      <c r="H65" s="25">
        <f>-SUMIF('1.3 FY2018'!$B:$B,'2.1 Database'!B65,'1.3 FY2018'!$F:$F)</f>
        <v>0</v>
      </c>
      <c r="I65" s="2" t="s">
        <v>224</v>
      </c>
    </row>
    <row r="66" spans="2:9" x14ac:dyDescent="0.2">
      <c r="B66" s="2" t="s">
        <v>178</v>
      </c>
      <c r="C66" s="2" t="str">
        <f>VLOOKUP($B66,'1.2 FY2017'!$B$5:$E$86,2,FALSE)</f>
        <v>R&amp;D expenses</v>
      </c>
      <c r="D66" s="25" t="str">
        <f>VLOOKUP($B66,'1.2 FY2017'!$B$5:$E$86,3,FALSE)</f>
        <v>1924</v>
      </c>
      <c r="E66" s="25" t="str">
        <f>VLOOKUP($B66,'1.2 FY2017'!$B$5:$E$86,4,FALSE)</f>
        <v>Generco Infrastructure Ltd</v>
      </c>
      <c r="F66" s="25">
        <f>-SUMIF('1.1 FY2016'!$B:$B,'2.1 Database'!B66,'1.1 FY2016'!$F:$F)</f>
        <v>0</v>
      </c>
      <c r="G66" s="25">
        <f>-SUMIF('1.2 FY2017'!$B:$B,'2.1 Database'!B66,'1.2 FY2017'!$F:$F)</f>
        <v>-10448.129999999999</v>
      </c>
      <c r="H66" s="25">
        <f>-SUMIF('1.3 FY2018'!$B:$B,'2.1 Database'!B66,'1.3 FY2018'!$F:$F)</f>
        <v>-673.34299999999985</v>
      </c>
      <c r="I66" s="2" t="s">
        <v>224</v>
      </c>
    </row>
    <row r="67" spans="2:9" x14ac:dyDescent="0.2">
      <c r="B67" s="2" t="s">
        <v>179</v>
      </c>
      <c r="C67" s="2" t="str">
        <f>VLOOKUP($B67,'1.2 FY2017'!$B$5:$E$86,2,FALSE)</f>
        <v>R&amp;D expenses</v>
      </c>
      <c r="D67" s="25" t="str">
        <f>VLOOKUP($B67,'1.2 FY2017'!$B$5:$E$86,3,FALSE)</f>
        <v>2486</v>
      </c>
      <c r="E67" s="25" t="str">
        <f>VLOOKUP($B67,'1.2 FY2017'!$B$5:$E$86,4,FALSE)</f>
        <v>Generco Exloration Ltd</v>
      </c>
      <c r="F67" s="25">
        <f>-SUMIF('1.1 FY2016'!$B:$B,'2.1 Database'!B67,'1.1 FY2016'!$F:$F)</f>
        <v>0</v>
      </c>
      <c r="G67" s="25">
        <f>-SUMIF('1.2 FY2017'!$B:$B,'2.1 Database'!B67,'1.2 FY2017'!$F:$F)</f>
        <v>-10412.5</v>
      </c>
      <c r="H67" s="25">
        <f>-SUMIF('1.3 FY2018'!$B:$B,'2.1 Database'!B67,'1.3 FY2018'!$F:$F)</f>
        <v>0</v>
      </c>
      <c r="I67" s="2" t="s">
        <v>224</v>
      </c>
    </row>
    <row r="68" spans="2:9" x14ac:dyDescent="0.2">
      <c r="B68" s="2" t="s">
        <v>180</v>
      </c>
      <c r="C68" s="2" t="str">
        <f>VLOOKUP($B68,'1.2 FY2017'!$B$5:$E$86,2,FALSE)</f>
        <v>Other personnel expenses</v>
      </c>
      <c r="D68" s="25">
        <f>VLOOKUP($B68,'1.2 FY2017'!$B$5:$E$86,3,FALSE)</f>
        <v>111101</v>
      </c>
      <c r="E68" s="25" t="str">
        <f>VLOOKUP($B68,'1.2 FY2017'!$B$5:$E$86,4,FALSE)</f>
        <v>Not assigned</v>
      </c>
      <c r="F68" s="25">
        <f>-SUMIF('1.1 FY2016'!$B:$B,'2.1 Database'!B68,'1.1 FY2016'!$F:$F)</f>
        <v>0</v>
      </c>
      <c r="G68" s="25">
        <f>-SUMIF('1.2 FY2017'!$B:$B,'2.1 Database'!B68,'1.2 FY2017'!$F:$F)</f>
        <v>-6919.8499999999995</v>
      </c>
      <c r="H68" s="25">
        <f>-SUMIF('1.3 FY2018'!$B:$B,'2.1 Database'!B68,'1.3 FY2018'!$F:$F)</f>
        <v>0</v>
      </c>
      <c r="I68" s="2" t="s">
        <v>225</v>
      </c>
    </row>
    <row r="69" spans="2:9" x14ac:dyDescent="0.2">
      <c r="B69" s="2" t="s">
        <v>181</v>
      </c>
      <c r="C69" s="2" t="str">
        <f>VLOOKUP($B69,'1.2 FY2017'!$B$5:$E$86,2,FALSE)</f>
        <v>D&amp;A</v>
      </c>
      <c r="D69" s="25">
        <f>VLOOKUP($B69,'1.2 FY2017'!$B$5:$E$86,3,FALSE)</f>
        <v>111101</v>
      </c>
      <c r="E69" s="25" t="str">
        <f>VLOOKUP($B69,'1.2 FY2017'!$B$5:$E$86,4,FALSE)</f>
        <v>Not assigned</v>
      </c>
      <c r="F69" s="25">
        <f>-SUMIF('1.1 FY2016'!$B:$B,'2.1 Database'!B69,'1.1 FY2016'!$F:$F)</f>
        <v>0</v>
      </c>
      <c r="G69" s="25">
        <f>-SUMIF('1.2 FY2017'!$B:$B,'2.1 Database'!B69,'1.2 FY2017'!$F:$F)</f>
        <v>-146328.94499999998</v>
      </c>
      <c r="H69" s="25">
        <f>-SUMIF('1.3 FY2018'!$B:$B,'2.1 Database'!B69,'1.3 FY2018'!$F:$F)</f>
        <v>-12593.355</v>
      </c>
      <c r="I69" s="2" t="s">
        <v>72</v>
      </c>
    </row>
    <row r="70" spans="2:9" x14ac:dyDescent="0.2">
      <c r="B70" s="2" t="s">
        <v>182</v>
      </c>
      <c r="C70" s="2" t="str">
        <f>VLOOKUP($B70,'1.2 FY2017'!$B$5:$E$86,2,FALSE)</f>
        <v>Gains from disposal of PP&amp;E</v>
      </c>
      <c r="D70" s="25">
        <f>VLOOKUP($B70,'1.2 FY2017'!$B$5:$E$86,3,FALSE)</f>
        <v>111111</v>
      </c>
      <c r="E70" s="25" t="str">
        <f>VLOOKUP($B70,'1.2 FY2017'!$B$5:$E$86,4,FALSE)</f>
        <v>External</v>
      </c>
      <c r="F70" s="25">
        <f>-SUMIF('1.1 FY2016'!$B:$B,'2.1 Database'!B70,'1.1 FY2016'!$F:$F)</f>
        <v>0</v>
      </c>
      <c r="G70" s="25">
        <f>-SUMIF('1.2 FY2017'!$B:$B,'2.1 Database'!B70,'1.2 FY2017'!$F:$F)</f>
        <v>121553.07499999998</v>
      </c>
      <c r="H70" s="25">
        <f>-SUMIF('1.3 FY2018'!$B:$B,'2.1 Database'!B70,'1.3 FY2018'!$F:$F)</f>
        <v>0</v>
      </c>
      <c r="I70" s="2" t="s">
        <v>231</v>
      </c>
    </row>
    <row r="71" spans="2:9" x14ac:dyDescent="0.2">
      <c r="B71" s="2" t="s">
        <v>183</v>
      </c>
      <c r="C71" s="2" t="str">
        <f>VLOOKUP($B71,'1.2 FY2017'!$B$5:$E$86,2,FALSE)</f>
        <v>Corporate recharges</v>
      </c>
      <c r="D71" s="25">
        <f>VLOOKUP($B71,'1.2 FY2017'!$B$5:$E$86,3,FALSE)</f>
        <v>19</v>
      </c>
      <c r="E71" s="25" t="str">
        <f>VLOOKUP($B71,'1.2 FY2017'!$B$5:$E$86,4,FALSE)</f>
        <v>Generco Cosmetics Ltd</v>
      </c>
      <c r="F71" s="25">
        <f>-SUMIF('1.1 FY2016'!$B:$B,'2.1 Database'!B71,'1.1 FY2016'!$F:$F)</f>
        <v>0</v>
      </c>
      <c r="G71" s="25">
        <f>-SUMIF('1.2 FY2017'!$B:$B,'2.1 Database'!B71,'1.2 FY2017'!$F:$F)</f>
        <v>416278.66</v>
      </c>
      <c r="H71" s="25">
        <f>-SUMIF('1.3 FY2018'!$B:$B,'2.1 Database'!B71,'1.3 FY2018'!$F:$F)</f>
        <v>622966.38600000006</v>
      </c>
      <c r="I71" s="2" t="s">
        <v>226</v>
      </c>
    </row>
    <row r="72" spans="2:9" x14ac:dyDescent="0.2">
      <c r="B72" s="2" t="s">
        <v>184</v>
      </c>
      <c r="C72" s="2" t="str">
        <f>VLOOKUP($B72,'1.2 FY2017'!$B$5:$E$86,2,FALSE)</f>
        <v>Corporate recharges</v>
      </c>
      <c r="D72" s="25" t="str">
        <f>VLOOKUP($B72,'1.2 FY2017'!$B$5:$E$86,3,FALSE)</f>
        <v>1076</v>
      </c>
      <c r="E72" s="25" t="str">
        <f>VLOOKUP($B72,'1.2 FY2017'!$B$5:$E$86,4,FALSE)</f>
        <v>Generco Trading Ltd</v>
      </c>
      <c r="F72" s="25">
        <f>-SUMIF('1.1 FY2016'!$B:$B,'2.1 Database'!B72,'1.1 FY2016'!$F:$F)</f>
        <v>0</v>
      </c>
      <c r="G72" s="25">
        <f>-SUMIF('1.2 FY2017'!$B:$B,'2.1 Database'!B72,'1.2 FY2017'!$F:$F)</f>
        <v>364243.84499999997</v>
      </c>
      <c r="H72" s="25">
        <f>-SUMIF('1.3 FY2018'!$B:$B,'2.1 Database'!B72,'1.3 FY2018'!$F:$F)</f>
        <v>0</v>
      </c>
      <c r="I72" s="2" t="s">
        <v>226</v>
      </c>
    </row>
    <row r="73" spans="2:9" x14ac:dyDescent="0.2">
      <c r="B73" s="2" t="s">
        <v>185</v>
      </c>
      <c r="C73" s="2" t="str">
        <f>VLOOKUP($B73,'1.2 FY2017'!$B$5:$E$86,2,FALSE)</f>
        <v>Corporate recharges</v>
      </c>
      <c r="D73" s="25" t="str">
        <f>VLOOKUP($B73,'1.2 FY2017'!$B$5:$E$86,3,FALSE)</f>
        <v>1086</v>
      </c>
      <c r="E73" s="25" t="str">
        <f>VLOOKUP($B73,'1.2 FY2017'!$B$5:$E$86,4,FALSE)</f>
        <v>G&amp;Resources Ltd</v>
      </c>
      <c r="F73" s="25">
        <f>-SUMIF('1.1 FY2016'!$B:$B,'2.1 Database'!B73,'1.1 FY2016'!$F:$F)</f>
        <v>0</v>
      </c>
      <c r="G73" s="25">
        <f>-SUMIF('1.2 FY2017'!$B:$B,'2.1 Database'!B73,'1.2 FY2017'!$F:$F)</f>
        <v>0</v>
      </c>
      <c r="H73" s="25">
        <f>-SUMIF('1.3 FY2018'!$B:$B,'2.1 Database'!B73,'1.3 FY2018'!$F:$F)</f>
        <v>0</v>
      </c>
      <c r="I73" s="2" t="s">
        <v>226</v>
      </c>
    </row>
    <row r="74" spans="2:9" x14ac:dyDescent="0.2">
      <c r="B74" s="2" t="s">
        <v>186</v>
      </c>
      <c r="C74" s="2" t="str">
        <f>VLOOKUP($B74,'1.2 FY2017'!$B$5:$E$86,2,FALSE)</f>
        <v>Corporate recharges</v>
      </c>
      <c r="D74" s="25" t="str">
        <f>VLOOKUP($B74,'1.2 FY2017'!$B$5:$E$86,3,FALSE)</f>
        <v>47037</v>
      </c>
      <c r="E74" s="25" t="str">
        <f>VLOOKUP($B74,'1.2 FY2017'!$B$5:$E$86,4,FALSE)</f>
        <v>G&amp;CR Global Ltd</v>
      </c>
      <c r="F74" s="25">
        <f>-SUMIF('1.1 FY2016'!$B:$B,'2.1 Database'!B74,'1.1 FY2016'!$F:$F)</f>
        <v>0</v>
      </c>
      <c r="G74" s="25">
        <f>-SUMIF('1.2 FY2017'!$B:$B,'2.1 Database'!B74,'1.2 FY2017'!$F:$F)</f>
        <v>482611.04499999998</v>
      </c>
      <c r="H74" s="25">
        <f>-SUMIF('1.3 FY2018'!$B:$B,'2.1 Database'!B74,'1.3 FY2018'!$F:$F)</f>
        <v>1948832.1429999999</v>
      </c>
      <c r="I74" s="2" t="s">
        <v>226</v>
      </c>
    </row>
    <row r="75" spans="2:9" x14ac:dyDescent="0.2">
      <c r="B75" s="2" t="s">
        <v>187</v>
      </c>
      <c r="C75" s="2" t="str">
        <f>VLOOKUP($B75,'1.2 FY2017'!$B$5:$E$86,2,FALSE)</f>
        <v>Other income</v>
      </c>
      <c r="D75" s="25">
        <f>VLOOKUP($B75,'1.2 FY2017'!$B$5:$E$86,3,FALSE)</f>
        <v>88</v>
      </c>
      <c r="E75" s="25" t="str">
        <f>VLOOKUP($B75,'1.2 FY2017'!$B$5:$E$86,4,FALSE)</f>
        <v>Generco Ltd</v>
      </c>
      <c r="F75" s="25">
        <f>-SUMIF('1.1 FY2016'!$B:$B,'2.1 Database'!B75,'1.1 FY2016'!$F:$F)</f>
        <v>0</v>
      </c>
      <c r="G75" s="25">
        <f>-SUMIF('1.2 FY2017'!$B:$B,'2.1 Database'!B75,'1.2 FY2017'!$F:$F)</f>
        <v>2436.35</v>
      </c>
      <c r="H75" s="25">
        <f>-SUMIF('1.3 FY2018'!$B:$B,'2.1 Database'!B75,'1.3 FY2018'!$F:$F)</f>
        <v>0</v>
      </c>
      <c r="I75" s="2" t="s">
        <v>74</v>
      </c>
    </row>
    <row r="76" spans="2:9" x14ac:dyDescent="0.2">
      <c r="B76" s="2" t="s">
        <v>188</v>
      </c>
      <c r="C76" s="2" t="str">
        <f>VLOOKUP($B76,'1.2 FY2017'!$B$5:$E$86,2,FALSE)</f>
        <v>Concession fees other</v>
      </c>
      <c r="D76" s="25">
        <f>VLOOKUP($B76,'1.2 FY2017'!$B$5:$E$86,3,FALSE)</f>
        <v>111101</v>
      </c>
      <c r="E76" s="25" t="str">
        <f>VLOOKUP($B76,'1.2 FY2017'!$B$5:$E$86,4,FALSE)</f>
        <v>Not assigned</v>
      </c>
      <c r="F76" s="25">
        <f>-SUMIF('1.1 FY2016'!$B:$B,'2.1 Database'!B76,'1.1 FY2016'!$F:$F)</f>
        <v>0</v>
      </c>
      <c r="G76" s="25">
        <f>-SUMIF('1.2 FY2017'!$B:$B,'2.1 Database'!B76,'1.2 FY2017'!$F:$F)</f>
        <v>-81.339999999999989</v>
      </c>
      <c r="H76" s="25">
        <f>-SUMIF('1.3 FY2018'!$B:$B,'2.1 Database'!B76,'1.3 FY2018'!$F:$F)</f>
        <v>0</v>
      </c>
      <c r="I76" s="2" t="s">
        <v>224</v>
      </c>
    </row>
    <row r="77" spans="2:9" x14ac:dyDescent="0.2">
      <c r="B77" s="2" t="s">
        <v>189</v>
      </c>
      <c r="C77" s="2" t="str">
        <f>VLOOKUP($B77,'1.2 FY2017'!$B$5:$E$86,2,FALSE)</f>
        <v>Service expenses</v>
      </c>
      <c r="D77" s="25">
        <f>VLOOKUP($B77,'1.2 FY2017'!$B$5:$E$86,3,FALSE)</f>
        <v>105</v>
      </c>
      <c r="E77" s="25" t="str">
        <f>VLOOKUP($B77,'1.2 FY2017'!$B$5:$E$86,4,FALSE)</f>
        <v>Generco Healthcare Ltd</v>
      </c>
      <c r="F77" s="25">
        <f>-SUMIF('1.1 FY2016'!$B:$B,'2.1 Database'!B77,'1.1 FY2016'!$F:$F)</f>
        <v>0</v>
      </c>
      <c r="G77" s="25">
        <f>-SUMIF('1.2 FY2017'!$B:$B,'2.1 Database'!B77,'1.2 FY2017'!$F:$F)</f>
        <v>-276920</v>
      </c>
      <c r="H77" s="25">
        <f>-SUMIF('1.3 FY2018'!$B:$B,'2.1 Database'!B77,'1.3 FY2018'!$F:$F)</f>
        <v>-473575.46100000001</v>
      </c>
      <c r="I77" s="2" t="s">
        <v>228</v>
      </c>
    </row>
    <row r="78" spans="2:9" x14ac:dyDescent="0.2">
      <c r="B78" s="2" t="s">
        <v>190</v>
      </c>
      <c r="C78" s="2" t="str">
        <f>VLOOKUP($B78,'1.2 FY2017'!$B$5:$E$86,2,FALSE)</f>
        <v>Insurance expenses</v>
      </c>
      <c r="D78" s="25">
        <f>VLOOKUP($B78,'1.2 FY2017'!$B$5:$E$86,3,FALSE)</f>
        <v>1900</v>
      </c>
      <c r="E78" s="25" t="str">
        <f>VLOOKUP($B78,'1.2 FY2017'!$B$5:$E$86,4,FALSE)</f>
        <v>Generco Metals Gm</v>
      </c>
      <c r="F78" s="25">
        <f>-SUMIF('1.1 FY2016'!$B:$B,'2.1 Database'!B78,'1.1 FY2016'!$F:$F)</f>
        <v>0</v>
      </c>
      <c r="G78" s="25">
        <f>-SUMIF('1.2 FY2017'!$B:$B,'2.1 Database'!B78,'1.2 FY2017'!$F:$F)</f>
        <v>0</v>
      </c>
      <c r="H78" s="25">
        <f>-SUMIF('1.3 FY2018'!$B:$B,'2.1 Database'!B78,'1.3 FY2018'!$F:$F)</f>
        <v>0</v>
      </c>
    </row>
    <row r="79" spans="2:9" x14ac:dyDescent="0.2">
      <c r="B79" s="2" t="s">
        <v>191</v>
      </c>
      <c r="C79" s="2" t="str">
        <f>VLOOKUP($B79,'1.2 FY2017'!$B$5:$E$86,2,FALSE)</f>
        <v>Travel expenses</v>
      </c>
      <c r="D79" s="25" t="str">
        <f>VLOOKUP($B79,'1.2 FY2017'!$B$5:$E$86,3,FALSE)</f>
        <v>1118</v>
      </c>
      <c r="E79" s="25" t="str">
        <f>VLOOKUP($B79,'1.2 FY2017'!$B$5:$E$86,4,FALSE)</f>
        <v>Gener Green LLC</v>
      </c>
      <c r="F79" s="25">
        <f>-SUMIF('1.1 FY2016'!$B:$B,'2.1 Database'!B79,'1.1 FY2016'!$F:$F)</f>
        <v>0</v>
      </c>
      <c r="G79" s="25">
        <f>-SUMIF('1.2 FY2017'!$B:$B,'2.1 Database'!B79,'1.2 FY2017'!$F:$F)</f>
        <v>-23928.799999999999</v>
      </c>
      <c r="H79" s="25">
        <f>-SUMIF('1.3 FY2018'!$B:$B,'2.1 Database'!B79,'1.3 FY2018'!$F:$F)</f>
        <v>0</v>
      </c>
      <c r="I79" s="2" t="s">
        <v>224</v>
      </c>
    </row>
    <row r="80" spans="2:9" x14ac:dyDescent="0.2">
      <c r="B80" s="2" t="s">
        <v>192</v>
      </c>
      <c r="C80" s="2" t="str">
        <f>VLOOKUP($B80,'1.2 FY2017'!$B$5:$E$86,2,FALSE)</f>
        <v>Losses fr disposal of PPE</v>
      </c>
      <c r="D80" s="25">
        <f>VLOOKUP($B80,'1.2 FY2017'!$B$5:$E$86,3,FALSE)</f>
        <v>111111</v>
      </c>
      <c r="E80" s="25" t="str">
        <f>VLOOKUP($B80,'1.2 FY2017'!$B$5:$E$86,4,FALSE)</f>
        <v>External</v>
      </c>
      <c r="F80" s="25">
        <f>-SUMIF('1.1 FY2016'!$B:$B,'2.1 Database'!B80,'1.1 FY2016'!$F:$F)</f>
        <v>0</v>
      </c>
      <c r="G80" s="25">
        <f>-SUMIF('1.2 FY2017'!$B:$B,'2.1 Database'!B80,'1.2 FY2017'!$F:$F)</f>
        <v>-308232</v>
      </c>
      <c r="H80" s="25">
        <f>-SUMIF('1.3 FY2018'!$B:$B,'2.1 Database'!B80,'1.3 FY2018'!$F:$F)</f>
        <v>0</v>
      </c>
      <c r="I80" s="2" t="s">
        <v>231</v>
      </c>
    </row>
    <row r="81" spans="2:9" x14ac:dyDescent="0.2">
      <c r="B81" s="2" t="s">
        <v>193</v>
      </c>
      <c r="C81" s="2" t="str">
        <f>VLOOKUP($B81,'1.2 FY2017'!$B$5:$E$86,2,FALSE)</f>
        <v>Other operative currency differences</v>
      </c>
      <c r="D81" s="25">
        <f>VLOOKUP($B81,'1.2 FY2017'!$B$5:$E$86,3,FALSE)</f>
        <v>19</v>
      </c>
      <c r="E81" s="25" t="str">
        <f>VLOOKUP($B81,'1.2 FY2017'!$B$5:$E$86,4,FALSE)</f>
        <v>Generco Cosmetics Ltd</v>
      </c>
      <c r="F81" s="25">
        <f>-SUMIF('1.1 FY2016'!$B:$B,'2.1 Database'!B81,'1.1 FY2016'!$F:$F)</f>
        <v>0</v>
      </c>
      <c r="G81" s="25">
        <f>-SUMIF('1.2 FY2017'!$B:$B,'2.1 Database'!B81,'1.2 FY2017'!$F:$F)</f>
        <v>-13422.779999999999</v>
      </c>
      <c r="H81" s="25">
        <f>-SUMIF('1.3 FY2018'!$B:$B,'2.1 Database'!B81,'1.3 FY2018'!$F:$F)</f>
        <v>0</v>
      </c>
      <c r="I81" s="2" t="s">
        <v>224</v>
      </c>
    </row>
    <row r="82" spans="2:9" x14ac:dyDescent="0.2">
      <c r="B82" s="2" t="s">
        <v>194</v>
      </c>
      <c r="C82" s="2" t="str">
        <f>VLOOKUP($B82,'1.2 FY2017'!$B$5:$E$86,2,FALSE)</f>
        <v>Other operative currency differences</v>
      </c>
      <c r="D82" s="25">
        <f>VLOOKUP($B82,'1.2 FY2017'!$B$5:$E$86,3,FALSE)</f>
        <v>111111</v>
      </c>
      <c r="E82" s="25" t="str">
        <f>VLOOKUP($B82,'1.2 FY2017'!$B$5:$E$86,4,FALSE)</f>
        <v>External</v>
      </c>
      <c r="F82" s="25">
        <f>-SUMIF('1.1 FY2016'!$B:$B,'2.1 Database'!B82,'1.1 FY2016'!$F:$F)</f>
        <v>0</v>
      </c>
      <c r="G82" s="25">
        <f>-SUMIF('1.2 FY2017'!$B:$B,'2.1 Database'!B82,'1.2 FY2017'!$F:$F)</f>
        <v>-4045.6150000000002</v>
      </c>
      <c r="H82" s="25">
        <f>-SUMIF('1.3 FY2018'!$B:$B,'2.1 Database'!B82,'1.3 FY2018'!$F:$F)</f>
        <v>0</v>
      </c>
      <c r="I82" s="2" t="s">
        <v>224</v>
      </c>
    </row>
    <row r="83" spans="2:9" x14ac:dyDescent="0.2">
      <c r="B83" s="2" t="s">
        <v>195</v>
      </c>
      <c r="C83" s="2" t="str">
        <f>VLOOKUP($B83,'1.2 FY2017'!$B$5:$E$86,2,FALSE)</f>
        <v>Property tax</v>
      </c>
      <c r="D83" s="25">
        <f>VLOOKUP($B83,'1.2 FY2017'!$B$5:$E$86,3,FALSE)</f>
        <v>111111</v>
      </c>
      <c r="E83" s="25" t="str">
        <f>VLOOKUP($B83,'1.2 FY2017'!$B$5:$E$86,4,FALSE)</f>
        <v>External</v>
      </c>
      <c r="F83" s="25">
        <f>-SUMIF('1.1 FY2016'!$B:$B,'2.1 Database'!B83,'1.1 FY2016'!$F:$F)</f>
        <v>0</v>
      </c>
      <c r="G83" s="25">
        <f>-SUMIF('1.2 FY2017'!$B:$B,'2.1 Database'!B83,'1.2 FY2017'!$F:$F)</f>
        <v>-49621.144999999997</v>
      </c>
      <c r="H83" s="25">
        <f>-SUMIF('1.3 FY2018'!$B:$B,'2.1 Database'!B83,'1.3 FY2018'!$F:$F)</f>
        <v>0</v>
      </c>
      <c r="I83" s="2" t="s">
        <v>224</v>
      </c>
    </row>
    <row r="84" spans="2:9" x14ac:dyDescent="0.2">
      <c r="B84" s="2" t="s">
        <v>196</v>
      </c>
      <c r="C84" s="2" t="str">
        <f>VLOOKUP($B84,'1.2 FY2017'!$B$5:$E$86,2,FALSE)</f>
        <v>Misc extraordinary expenses</v>
      </c>
      <c r="D84" s="25">
        <f>VLOOKUP($B84,'1.2 FY2017'!$B$5:$E$86,3,FALSE)</f>
        <v>19</v>
      </c>
      <c r="E84" s="25" t="str">
        <f>VLOOKUP($B84,'1.2 FY2017'!$B$5:$E$86,4,FALSE)</f>
        <v>Generco Cosmetics Ltd</v>
      </c>
      <c r="F84" s="25">
        <f>-SUMIF('1.1 FY2016'!$B:$B,'2.1 Database'!B84,'1.1 FY2016'!$F:$F)</f>
        <v>0</v>
      </c>
      <c r="G84" s="25">
        <f>-SUMIF('1.2 FY2017'!$B:$B,'2.1 Database'!B84,'1.2 FY2017'!$F:$F)</f>
        <v>-85462.684999999998</v>
      </c>
      <c r="H84" s="25">
        <f>-SUMIF('1.3 FY2018'!$B:$B,'2.1 Database'!B84,'1.3 FY2018'!$F:$F)</f>
        <v>0</v>
      </c>
      <c r="I84" s="2" t="s">
        <v>231</v>
      </c>
    </row>
    <row r="85" spans="2:9" x14ac:dyDescent="0.2">
      <c r="B85" s="2" t="s">
        <v>197</v>
      </c>
      <c r="C85" s="2" t="str">
        <f>VLOOKUP($B85,'1.2 FY2017'!$B$5:$E$86,2,FALSE)</f>
        <v>Misc extraordinary expenses</v>
      </c>
      <c r="D85" s="25" t="str">
        <f>VLOOKUP($B85,'1.2 FY2017'!$B$5:$E$86,3,FALSE)</f>
        <v>43</v>
      </c>
      <c r="E85" s="25" t="str">
        <f>VLOOKUP($B85,'1.2 FY2017'!$B$5:$E$86,4,FALSE)</f>
        <v>Greeny France SL</v>
      </c>
      <c r="F85" s="25">
        <f>-SUMIF('1.1 FY2016'!$B:$B,'2.1 Database'!B85,'1.1 FY2016'!$F:$F)</f>
        <v>0</v>
      </c>
      <c r="G85" s="25">
        <f>-SUMIF('1.2 FY2017'!$B:$B,'2.1 Database'!B85,'1.2 FY2017'!$F:$F)</f>
        <v>-11422.144999999999</v>
      </c>
      <c r="H85" s="25">
        <f>-SUMIF('1.3 FY2018'!$B:$B,'2.1 Database'!B85,'1.3 FY2018'!$F:$F)</f>
        <v>0</v>
      </c>
      <c r="I85" s="2" t="s">
        <v>231</v>
      </c>
    </row>
    <row r="86" spans="2:9" x14ac:dyDescent="0.2">
      <c r="B86" s="2" t="s">
        <v>198</v>
      </c>
      <c r="C86" s="2" t="str">
        <f>VLOOKUP($B86,'1.2 FY2017'!$B$5:$E$86,2,FALSE)</f>
        <v>Misc extraordinary expenses</v>
      </c>
      <c r="D86" s="25" t="str">
        <f>VLOOKUP($B86,'1.2 FY2017'!$B$5:$E$86,3,FALSE)</f>
        <v>1924</v>
      </c>
      <c r="E86" s="25" t="str">
        <f>VLOOKUP($B86,'1.2 FY2017'!$B$5:$E$86,4,FALSE)</f>
        <v>Generco Infrastructure Ltd</v>
      </c>
      <c r="F86" s="25">
        <f>-SUMIF('1.1 FY2016'!$B:$B,'2.1 Database'!B86,'1.1 FY2016'!$F:$F)</f>
        <v>0</v>
      </c>
      <c r="G86" s="25">
        <f>-SUMIF('1.2 FY2017'!$B:$B,'2.1 Database'!B86,'1.2 FY2017'!$F:$F)</f>
        <v>-84438.864999999991</v>
      </c>
      <c r="H86" s="25">
        <f>-SUMIF('1.3 FY2018'!$B:$B,'2.1 Database'!B86,'1.3 FY2018'!$F:$F)</f>
        <v>0</v>
      </c>
      <c r="I86" s="2" t="s">
        <v>231</v>
      </c>
    </row>
    <row r="87" spans="2:9" x14ac:dyDescent="0.2">
      <c r="B87" s="2" t="s">
        <v>199</v>
      </c>
      <c r="C87" s="2" t="str">
        <f>VLOOKUP($B87,'1.2 FY2017'!$B$5:$E$86,2,FALSE)</f>
        <v>Difference from eliminations</v>
      </c>
      <c r="D87" s="25" t="str">
        <f>VLOOKUP($B87,'1.2 FY2017'!$B$5:$E$86,3,FALSE)</f>
        <v>1086</v>
      </c>
      <c r="E87" s="25" t="str">
        <f>VLOOKUP($B87,'1.2 FY2017'!$B$5:$E$86,4,FALSE)</f>
        <v>G&amp;Resources Ltd</v>
      </c>
      <c r="F87" s="25">
        <f>-SUMIF('1.1 FY2016'!$B:$B,'2.1 Database'!B87,'1.1 FY2016'!$F:$F)</f>
        <v>0</v>
      </c>
      <c r="G87" s="25">
        <f>-SUMIF('1.2 FY2017'!$B:$B,'2.1 Database'!B87,'1.2 FY2017'!$F:$F)</f>
        <v>0</v>
      </c>
      <c r="H87" s="25">
        <f>-SUMIF('1.3 FY2018'!$B:$B,'2.1 Database'!B87,'1.3 FY2018'!$F:$F)</f>
        <v>0</v>
      </c>
    </row>
    <row r="88" spans="2:9" x14ac:dyDescent="0.2">
      <c r="B88" s="2" t="s">
        <v>200</v>
      </c>
      <c r="C88" s="2" t="str">
        <f>VLOOKUP($B88,'1.2 FY2017'!$B$5:$E$86,2,FALSE)</f>
        <v>Interest income</v>
      </c>
      <c r="D88" s="25" t="str">
        <f>VLOOKUP($B88,'1.2 FY2017'!$B$5:$E$86,3,FALSE)</f>
        <v>1086</v>
      </c>
      <c r="E88" s="25" t="str">
        <f>VLOOKUP($B88,'1.2 FY2017'!$B$5:$E$86,4,FALSE)</f>
        <v>G&amp;Resources Ltd</v>
      </c>
      <c r="F88" s="25">
        <f>-SUMIF('1.1 FY2016'!$B:$B,'2.1 Database'!B88,'1.1 FY2016'!$F:$F)</f>
        <v>0</v>
      </c>
      <c r="G88" s="25">
        <f>-SUMIF('1.2 FY2017'!$B:$B,'2.1 Database'!B88,'1.2 FY2017'!$F:$F)</f>
        <v>0</v>
      </c>
      <c r="H88" s="25">
        <f>-SUMIF('1.3 FY2018'!$B:$B,'2.1 Database'!B88,'1.3 FY2018'!$F:$F)</f>
        <v>0</v>
      </c>
      <c r="I88" s="2" t="s">
        <v>230</v>
      </c>
    </row>
    <row r="89" spans="2:9" x14ac:dyDescent="0.2">
      <c r="B89" s="2" t="s">
        <v>201</v>
      </c>
      <c r="C89" s="2" t="str">
        <f>VLOOKUP($B89,'1.2 FY2017'!$B$5:$E$86,2,FALSE)</f>
        <v>Interest income</v>
      </c>
      <c r="D89" s="25">
        <f>VLOOKUP($B89,'1.2 FY2017'!$B$5:$E$86,3,FALSE)</f>
        <v>1006</v>
      </c>
      <c r="E89" s="25" t="str">
        <f>VLOOKUP($B89,'1.2 FY2017'!$B$5:$E$86,4,FALSE)</f>
        <v>Generco Mining GmbH</v>
      </c>
      <c r="F89" s="25">
        <f>-SUMIF('1.1 FY2016'!$B:$B,'2.1 Database'!B89,'1.1 FY2016'!$F:$F)</f>
        <v>0</v>
      </c>
      <c r="G89" s="25">
        <f>-SUMIF('1.2 FY2017'!$B:$B,'2.1 Database'!B89,'1.2 FY2017'!$F:$F)</f>
        <v>6778.415</v>
      </c>
      <c r="H89" s="25">
        <f>-SUMIF('1.3 FY2018'!$B:$B,'2.1 Database'!B89,'1.3 FY2018'!$F:$F)</f>
        <v>0</v>
      </c>
      <c r="I89" s="2" t="s">
        <v>230</v>
      </c>
    </row>
    <row r="90" spans="2:9" x14ac:dyDescent="0.2">
      <c r="B90" s="2" t="s">
        <v>202</v>
      </c>
      <c r="C90" s="2" t="str">
        <f>VLOOKUP($B90,'1.2 FY2017'!$B$5:$E$86,2,FALSE)</f>
        <v>Interest expenses</v>
      </c>
      <c r="D90" s="25">
        <f>VLOOKUP($B90,'1.2 FY2017'!$B$5:$E$86,3,FALSE)</f>
        <v>1007</v>
      </c>
      <c r="E90" s="25" t="str">
        <f>VLOOKUP($B90,'1.2 FY2017'!$B$5:$E$86,4,FALSE)</f>
        <v>Generco Semiconductors Ltd</v>
      </c>
      <c r="F90" s="25">
        <f>-SUMIF('1.1 FY2016'!$B:$B,'2.1 Database'!B90,'1.1 FY2016'!$F:$F)</f>
        <v>0</v>
      </c>
      <c r="G90" s="25">
        <f>-SUMIF('1.2 FY2017'!$B:$B,'2.1 Database'!B90,'1.2 FY2017'!$F:$F)</f>
        <v>0</v>
      </c>
      <c r="H90" s="25">
        <f>-SUMIF('1.3 FY2018'!$B:$B,'2.1 Database'!B90,'1.3 FY2018'!$F:$F)</f>
        <v>0</v>
      </c>
      <c r="I90" s="2" t="s">
        <v>230</v>
      </c>
    </row>
    <row r="91" spans="2:9" x14ac:dyDescent="0.2">
      <c r="B91" s="2" t="s">
        <v>203</v>
      </c>
      <c r="C91" s="2" t="str">
        <f>VLOOKUP($B91,'1.2 FY2017'!$B$5:$E$86,2,FALSE)</f>
        <v>Interest expenses</v>
      </c>
      <c r="D91" s="25">
        <f>VLOOKUP($B91,'1.2 FY2017'!$B$5:$E$86,3,FALSE)</f>
        <v>111111</v>
      </c>
      <c r="E91" s="25" t="str">
        <f>VLOOKUP($B91,'1.2 FY2017'!$B$5:$E$86,4,FALSE)</f>
        <v>External</v>
      </c>
      <c r="F91" s="25">
        <f>-SUMIF('1.1 FY2016'!$B:$B,'2.1 Database'!B91,'1.1 FY2016'!$F:$F)</f>
        <v>0</v>
      </c>
      <c r="G91" s="25">
        <f>-SUMIF('1.2 FY2017'!$B:$B,'2.1 Database'!B91,'1.2 FY2017'!$F:$F)</f>
        <v>-1250.7950000000001</v>
      </c>
      <c r="H91" s="25">
        <f>-SUMIF('1.3 FY2018'!$B:$B,'2.1 Database'!B91,'1.3 FY2018'!$F:$F)</f>
        <v>-51.454999999999998</v>
      </c>
      <c r="I91" s="2" t="s">
        <v>230</v>
      </c>
    </row>
    <row r="92" spans="2:9" x14ac:dyDescent="0.2">
      <c r="B92" s="2" t="s">
        <v>204</v>
      </c>
      <c r="C92" s="2" t="str">
        <f>VLOOKUP($B92,'1.2 FY2017'!$B$5:$E$86,2,FALSE)</f>
        <v>Impairment of participation</v>
      </c>
      <c r="D92" s="25">
        <f>VLOOKUP($B92,'1.2 FY2017'!$B$5:$E$86,3,FALSE)</f>
        <v>1240</v>
      </c>
      <c r="E92" s="25" t="str">
        <f>VLOOKUP($B92,'1.2 FY2017'!$B$5:$E$86,4,FALSE)</f>
        <v xml:space="preserve">Generco UK </v>
      </c>
      <c r="F92" s="25">
        <f>-SUMIF('1.1 FY2016'!$B:$B,'2.1 Database'!B92,'1.1 FY2016'!$F:$F)</f>
        <v>0</v>
      </c>
      <c r="G92" s="25">
        <f>-SUMIF('1.2 FY2017'!$B:$B,'2.1 Database'!B92,'1.2 FY2017'!$F:$F)</f>
        <v>-4130000</v>
      </c>
      <c r="H92" s="25">
        <f>-SUMIF('1.3 FY2018'!$B:$B,'2.1 Database'!B92,'1.3 FY2018'!$F:$F)</f>
        <v>0</v>
      </c>
      <c r="I92" s="2" t="s">
        <v>231</v>
      </c>
    </row>
    <row r="93" spans="2:9" x14ac:dyDescent="0.2">
      <c r="B93" s="2" t="s">
        <v>205</v>
      </c>
      <c r="C93" s="2" t="str">
        <f>VLOOKUP($B93,'1.2 FY2017'!$B$5:$E$86,2,FALSE)</f>
        <v>Quarterly changes in current taxes</v>
      </c>
      <c r="D93" s="25">
        <f>VLOOKUP($B93,'1.2 FY2017'!$B$5:$E$86,3,FALSE)</f>
        <v>111101</v>
      </c>
      <c r="E93" s="25" t="str">
        <f>VLOOKUP($B93,'1.2 FY2017'!$B$5:$E$86,4,FALSE)</f>
        <v>Not assigned</v>
      </c>
      <c r="F93" s="25">
        <f>-SUMIF('1.1 FY2016'!$B:$B,'2.1 Database'!B93,'1.1 FY2016'!$F:$F)</f>
        <v>0</v>
      </c>
      <c r="G93" s="25">
        <f>-SUMIF('1.2 FY2017'!$B:$B,'2.1 Database'!B93,'1.2 FY2017'!$F:$F)</f>
        <v>0</v>
      </c>
      <c r="H93" s="25">
        <f>-SUMIF('1.3 FY2018'!$B:$B,'2.1 Database'!B93,'1.3 FY2018'!$F:$F)</f>
        <v>0</v>
      </c>
    </row>
    <row r="94" spans="2:9" x14ac:dyDescent="0.2">
      <c r="B94" s="2" t="s">
        <v>206</v>
      </c>
      <c r="C94" s="2" t="str">
        <f>VLOOKUP($B94,'1.2 FY2017'!$B$5:$E$86,2,FALSE)</f>
        <v>Net income/(loss)</v>
      </c>
      <c r="D94" s="25">
        <f>VLOOKUP($B94,'1.2 FY2017'!$B$5:$E$86,3,FALSE)</f>
        <v>111101</v>
      </c>
      <c r="E94" s="25" t="str">
        <f>VLOOKUP($B94,'1.2 FY2017'!$B$5:$E$86,4,FALSE)</f>
        <v>Not assigned</v>
      </c>
      <c r="F94" s="25">
        <f>-SUMIF('1.1 FY2016'!$B:$B,'2.1 Database'!B94,'1.1 FY2016'!$F:$F)</f>
        <v>0</v>
      </c>
      <c r="G94" s="25">
        <f>SUMIF('1.2 FY2017'!$B:$B,'2.1 Database'!B94,'1.2 FY2017'!$F:$F)</f>
        <v>6073808.1600000001</v>
      </c>
      <c r="H94" s="25">
        <f>SUMIF('1.3 FY2018'!$B:$B,'2.1 Database'!B94,'1.3 FY2018'!$F:$F)</f>
        <v>-779290.47600000002</v>
      </c>
      <c r="I94" s="2" t="s">
        <v>233</v>
      </c>
    </row>
    <row r="95" spans="2:9" x14ac:dyDescent="0.2">
      <c r="B95" s="2" t="s">
        <v>207</v>
      </c>
      <c r="C95" s="2" t="str">
        <f>VLOOKUP($B95,'1.3 FY2018'!$B$5:$E$78,2,FALSE)</f>
        <v>Operating expenses for utilities</v>
      </c>
      <c r="D95" s="25">
        <f>VLOOKUP($B95,'1.3 FY2018'!$B$5:$E$78,3,FALSE)</f>
        <v>111111</v>
      </c>
      <c r="E95" s="25" t="str">
        <f>VLOOKUP($B95,'1.3 FY2018'!$B$5:$E$78,4,FALSE)</f>
        <v>External</v>
      </c>
      <c r="F95" s="25">
        <f>-SUMIF('1.1 FY2016'!$B:$B,'2.1 Database'!B95,'1.1 FY2016'!$F:$F)</f>
        <v>0</v>
      </c>
      <c r="G95" s="25">
        <f>-SUMIF('1.2 FY2017'!$B:$B,'2.1 Database'!B95,'1.2 FY2017'!$F:$F)</f>
        <v>0</v>
      </c>
      <c r="H95" s="25">
        <f>-SUMIF('1.3 FY2018'!$B:$B,'2.1 Database'!B95,'1.3 FY2018'!$F:$F)</f>
        <v>-13691.949999999999</v>
      </c>
      <c r="I95" s="2" t="s">
        <v>224</v>
      </c>
    </row>
    <row r="96" spans="2:9" x14ac:dyDescent="0.2">
      <c r="B96" s="2" t="s">
        <v>208</v>
      </c>
      <c r="C96" s="2" t="str">
        <f>VLOOKUP($B96,'1.3 FY2018'!$B$5:$E$78,2,FALSE)</f>
        <v>R&amp;D expenses</v>
      </c>
      <c r="D96" s="25" t="str">
        <f>VLOOKUP($B96,'1.3 FY2018'!$B$5:$E$78,3,FALSE)</f>
        <v>2185</v>
      </c>
      <c r="E96" s="25" t="str">
        <f>VLOOKUP($B96,'1.3 FY2018'!$B$5:$E$78,4,FALSE)</f>
        <v>Generco Green Projects GmbH</v>
      </c>
      <c r="F96" s="25">
        <f>-SUMIF('1.1 FY2016'!$B:$B,'2.1 Database'!B96,'1.1 FY2016'!$F:$F)</f>
        <v>0</v>
      </c>
      <c r="G96" s="25">
        <f>-SUMIF('1.2 FY2017'!$B:$B,'2.1 Database'!B96,'1.2 FY2017'!$F:$F)</f>
        <v>0</v>
      </c>
      <c r="H96" s="25">
        <f>-SUMIF('1.3 FY2018'!$B:$B,'2.1 Database'!B96,'1.3 FY2018'!$F:$F)</f>
        <v>-192017.14499999996</v>
      </c>
      <c r="I96" s="2" t="s">
        <v>224</v>
      </c>
    </row>
    <row r="97" spans="2:9" x14ac:dyDescent="0.2">
      <c r="B97" s="2" t="s">
        <v>209</v>
      </c>
      <c r="C97" s="2" t="str">
        <f>VLOOKUP($B97,'1.3 FY2018'!$B$5:$E$78,2,FALSE)</f>
        <v>R&amp;D expenses</v>
      </c>
      <c r="D97" s="25" t="str">
        <f>VLOOKUP($B97,'1.3 FY2018'!$B$5:$E$78,3,FALSE)</f>
        <v>2240</v>
      </c>
      <c r="E97" s="25" t="str">
        <f>VLOOKUP($B97,'1.3 FY2018'!$B$5:$E$78,4,FALSE)</f>
        <v>Greeny Germany GmbH</v>
      </c>
      <c r="F97" s="25">
        <f>-SUMIF('1.1 FY2016'!$B:$B,'2.1 Database'!B97,'1.1 FY2016'!$F:$F)</f>
        <v>0</v>
      </c>
      <c r="G97" s="25">
        <f>-SUMIF('1.2 FY2017'!$B:$B,'2.1 Database'!B97,'1.2 FY2017'!$F:$F)</f>
        <v>0</v>
      </c>
      <c r="H97" s="25">
        <f>-SUMIF('1.3 FY2018'!$B:$B,'2.1 Database'!B97,'1.3 FY2018'!$F:$F)</f>
        <v>-375290.46599999996</v>
      </c>
      <c r="I97" s="2" t="s">
        <v>224</v>
      </c>
    </row>
    <row r="98" spans="2:9" x14ac:dyDescent="0.2">
      <c r="B98" s="2" t="s">
        <v>210</v>
      </c>
      <c r="C98" s="2" t="str">
        <f>VLOOKUP($B98,'1.3 FY2018'!$B$5:$E$78,2,FALSE)</f>
        <v>R&amp;D expenses</v>
      </c>
      <c r="D98" s="25">
        <f>VLOOKUP($B98,'1.3 FY2018'!$B$5:$E$78,3,FALSE)</f>
        <v>17000</v>
      </c>
      <c r="E98" s="25" t="str">
        <f>VLOOKUP($B98,'1.3 FY2018'!$B$5:$E$78,4,FALSE)</f>
        <v>Generco Risk Management Ltd</v>
      </c>
      <c r="F98" s="25">
        <f>-SUMIF('1.1 FY2016'!$B:$B,'2.1 Database'!B98,'1.1 FY2016'!$F:$F)</f>
        <v>0</v>
      </c>
      <c r="G98" s="25">
        <f>-SUMIF('1.2 FY2017'!$B:$B,'2.1 Database'!B98,'1.2 FY2017'!$F:$F)</f>
        <v>0</v>
      </c>
      <c r="H98" s="25">
        <f>-SUMIF('1.3 FY2018'!$B:$B,'2.1 Database'!B98,'1.3 FY2018'!$F:$F)</f>
        <v>-4920</v>
      </c>
      <c r="I98" s="2" t="s">
        <v>224</v>
      </c>
    </row>
    <row r="99" spans="2:9" x14ac:dyDescent="0.2">
      <c r="B99" s="2" t="s">
        <v>211</v>
      </c>
      <c r="C99" s="2" t="str">
        <f>VLOOKUP($B99,'1.3 FY2018'!$B$5:$E$78,2,FALSE)</f>
        <v>Other operative currency differences</v>
      </c>
      <c r="D99" s="25" t="str">
        <f>VLOOKUP($B99,'1.3 FY2018'!$B$5:$E$78,3,FALSE)</f>
        <v>1118</v>
      </c>
      <c r="E99" s="25" t="str">
        <f>VLOOKUP($B99,'1.3 FY2018'!$B$5:$E$78,4,FALSE)</f>
        <v>Gener Green LLC</v>
      </c>
      <c r="F99" s="25">
        <f>-SUMIF('1.1 FY2016'!$B:$B,'2.1 Database'!B99,'1.1 FY2016'!$F:$F)</f>
        <v>0</v>
      </c>
      <c r="G99" s="25">
        <f>-SUMIF('1.2 FY2017'!$B:$B,'2.1 Database'!B99,'1.2 FY2017'!$F:$F)</f>
        <v>0</v>
      </c>
      <c r="H99" s="25">
        <f>-SUMIF('1.3 FY2018'!$B:$B,'2.1 Database'!B99,'1.3 FY2018'!$F:$F)</f>
        <v>0</v>
      </c>
      <c r="I99" s="2" t="s">
        <v>224</v>
      </c>
    </row>
    <row r="100" spans="2:9" x14ac:dyDescent="0.2">
      <c r="B100" s="2" t="s">
        <v>212</v>
      </c>
      <c r="C100" s="2" t="str">
        <f>VLOOKUP($B100,'1.3 FY2018'!$B$5:$E$78,2,FALSE)</f>
        <v>Other operative currency differences</v>
      </c>
      <c r="D100" s="25">
        <f>VLOOKUP($B100,'1.3 FY2018'!$B$5:$E$78,3,FALSE)</f>
        <v>111111</v>
      </c>
      <c r="E100" s="25" t="str">
        <f>VLOOKUP($B100,'1.3 FY2018'!$B$5:$E$78,4,FALSE)</f>
        <v>External</v>
      </c>
      <c r="F100" s="25">
        <f>-SUMIF('1.1 FY2016'!$B:$B,'2.1 Database'!B100,'1.1 FY2016'!$F:$F)</f>
        <v>0</v>
      </c>
      <c r="G100" s="25">
        <f>-SUMIF('1.2 FY2017'!$B:$B,'2.1 Database'!B100,'1.2 FY2017'!$F:$F)</f>
        <v>0</v>
      </c>
      <c r="H100" s="25">
        <f>-SUMIF('1.3 FY2018'!$B:$B,'2.1 Database'!B100,'1.3 FY2018'!$F:$F)</f>
        <v>1252.8369999999998</v>
      </c>
      <c r="I100" s="2" t="s">
        <v>224</v>
      </c>
    </row>
    <row r="101" spans="2:9" x14ac:dyDescent="0.2">
      <c r="B101" s="2" t="s">
        <v>213</v>
      </c>
      <c r="C101" s="2" t="str">
        <f>VLOOKUP($B101,'1.3 FY2018'!$B$5:$E$78,2,FALSE)</f>
        <v>Corporate recharges</v>
      </c>
      <c r="D101" s="25">
        <f>VLOOKUP($B101,'1.3 FY2018'!$B$5:$E$78,3,FALSE)</f>
        <v>1006</v>
      </c>
      <c r="E101" s="25" t="str">
        <f>VLOOKUP($B101,'1.3 FY2018'!$B$5:$E$78,4,FALSE)</f>
        <v>Generco Mining GmbH</v>
      </c>
      <c r="F101" s="25">
        <f>-SUMIF('1.1 FY2016'!$B:$B,'2.1 Database'!B101,'1.1 FY2016'!$F:$F)</f>
        <v>0</v>
      </c>
      <c r="G101" s="25">
        <f>-SUMIF('1.2 FY2017'!$B:$B,'2.1 Database'!B101,'1.2 FY2017'!$F:$F)</f>
        <v>0</v>
      </c>
      <c r="H101" s="25">
        <f>-SUMIF('1.3 FY2018'!$B:$B,'2.1 Database'!B101,'1.3 FY2018'!$F:$F)</f>
        <v>0</v>
      </c>
      <c r="I101" s="2" t="s">
        <v>226</v>
      </c>
    </row>
    <row r="102" spans="2:9" x14ac:dyDescent="0.2">
      <c r="B102" s="2" t="s">
        <v>214</v>
      </c>
      <c r="C102" s="2" t="str">
        <f>VLOOKUP($B102,'1.3 FY2018'!$B$5:$E$78,2,FALSE)</f>
        <v>Reimbursements+compensation for damages</v>
      </c>
      <c r="D102" s="25">
        <f>VLOOKUP($B102,'1.3 FY2018'!$B$5:$E$78,3,FALSE)</f>
        <v>111111</v>
      </c>
      <c r="E102" s="25" t="str">
        <f>VLOOKUP($B102,'1.3 FY2018'!$B$5:$E$78,4,FALSE)</f>
        <v>External</v>
      </c>
      <c r="F102" s="25">
        <f>-SUMIF('1.1 FY2016'!$B:$B,'2.1 Database'!B102,'1.1 FY2016'!$F:$F)</f>
        <v>0</v>
      </c>
      <c r="G102" s="25">
        <f>-SUMIF('1.2 FY2017'!$B:$B,'2.1 Database'!B102,'1.2 FY2017'!$F:$F)</f>
        <v>0</v>
      </c>
      <c r="H102" s="25">
        <f>-SUMIF('1.3 FY2018'!$B:$B,'2.1 Database'!B102,'1.3 FY2018'!$F:$F)</f>
        <v>61499.999999999993</v>
      </c>
      <c r="I102" s="2" t="s">
        <v>224</v>
      </c>
    </row>
    <row r="103" spans="2:9" x14ac:dyDescent="0.2">
      <c r="B103" s="2" t="s">
        <v>215</v>
      </c>
      <c r="C103" s="2" t="str">
        <f>VLOOKUP($B103,'1.3 FY2018'!$B$5:$E$78,2,FALSE)</f>
        <v>Other income</v>
      </c>
      <c r="D103" s="25">
        <f>VLOOKUP($B103,'1.3 FY2018'!$B$5:$E$78,3,FALSE)</f>
        <v>105</v>
      </c>
      <c r="E103" s="25" t="str">
        <f>VLOOKUP($B103,'1.3 FY2018'!$B$5:$E$78,4,FALSE)</f>
        <v>Generco Healthcare Ltd</v>
      </c>
      <c r="F103" s="25">
        <f>-SUMIF('1.1 FY2016'!$B:$B,'2.1 Database'!B103,'1.1 FY2016'!$F:$F)</f>
        <v>0</v>
      </c>
      <c r="G103" s="25">
        <f>-SUMIF('1.2 FY2017'!$B:$B,'2.1 Database'!B103,'1.2 FY2017'!$F:$F)</f>
        <v>0</v>
      </c>
      <c r="H103" s="25">
        <f>-SUMIF('1.3 FY2018'!$B:$B,'2.1 Database'!B103,'1.3 FY2018'!$F:$F)</f>
        <v>30913.425999999996</v>
      </c>
      <c r="I103" s="2" t="s">
        <v>74</v>
      </c>
    </row>
    <row r="104" spans="2:9" x14ac:dyDescent="0.2">
      <c r="B104" s="2" t="s">
        <v>216</v>
      </c>
      <c r="C104" s="2" t="str">
        <f>VLOOKUP($B104,'1.3 FY2018'!$B$5:$E$78,2,FALSE)</f>
        <v>Leasings</v>
      </c>
      <c r="D104" s="25">
        <f>VLOOKUP($B104,'1.3 FY2018'!$B$5:$E$78,3,FALSE)</f>
        <v>105</v>
      </c>
      <c r="E104" s="25" t="str">
        <f>VLOOKUP($B104,'1.3 FY2018'!$B$5:$E$78,4,FALSE)</f>
        <v>Generco Healthcare Ltd</v>
      </c>
      <c r="F104" s="25">
        <f>-SUMIF('1.1 FY2016'!$B:$B,'2.1 Database'!B104,'1.1 FY2016'!$F:$F)</f>
        <v>0</v>
      </c>
      <c r="G104" s="25">
        <f>-SUMIF('1.2 FY2017'!$B:$B,'2.1 Database'!B104,'1.2 FY2017'!$F:$F)</f>
        <v>0</v>
      </c>
      <c r="H104" s="25">
        <f>-SUMIF('1.3 FY2018'!$B:$B,'2.1 Database'!B104,'1.3 FY2018'!$F:$F)</f>
        <v>1423120</v>
      </c>
      <c r="I104" s="2" t="s">
        <v>227</v>
      </c>
    </row>
    <row r="105" spans="2:9" x14ac:dyDescent="0.2">
      <c r="B105" s="2" t="s">
        <v>217</v>
      </c>
      <c r="C105" s="2" t="str">
        <f>VLOOKUP($B105,'1.3 FY2018'!$B$5:$E$78,2,FALSE)</f>
        <v>Insurance expenses</v>
      </c>
      <c r="D105" s="25">
        <f>VLOOKUP($B105,'1.3 FY2018'!$B$5:$E$78,3,FALSE)</f>
        <v>88</v>
      </c>
      <c r="E105" s="25" t="str">
        <f>VLOOKUP($B105,'1.3 FY2018'!$B$5:$E$78,4,FALSE)</f>
        <v>Generco Ltd</v>
      </c>
      <c r="F105" s="25">
        <f>-SUMIF('1.1 FY2016'!$B:$B,'2.1 Database'!B105,'1.1 FY2016'!$F:$F)</f>
        <v>0</v>
      </c>
      <c r="G105" s="25">
        <f>-SUMIF('1.2 FY2017'!$B:$B,'2.1 Database'!B105,'1.2 FY2017'!$F:$F)</f>
        <v>0</v>
      </c>
      <c r="H105" s="25">
        <f>-SUMIF('1.3 FY2018'!$B:$B,'2.1 Database'!B105,'1.3 FY2018'!$F:$F)</f>
        <v>-584.66</v>
      </c>
      <c r="I105" s="2" t="s">
        <v>224</v>
      </c>
    </row>
    <row r="106" spans="2:9" x14ac:dyDescent="0.2">
      <c r="B106" s="2" t="s">
        <v>218</v>
      </c>
      <c r="C106" s="2" t="str">
        <f>VLOOKUP($B106,'1.3 FY2018'!$B$5:$E$78,2,FALSE)</f>
        <v>Repairs/Maintenance costs</v>
      </c>
      <c r="D106" s="25">
        <f>VLOOKUP($B106,'1.3 FY2018'!$B$5:$E$78,3,FALSE)</f>
        <v>111111</v>
      </c>
      <c r="E106" s="25" t="str">
        <f>VLOOKUP($B106,'1.3 FY2018'!$B$5:$E$78,4,FALSE)</f>
        <v>External</v>
      </c>
      <c r="F106" s="25">
        <f>-SUMIF('1.1 FY2016'!$B:$B,'2.1 Database'!B106,'1.1 FY2016'!$F:$F)</f>
        <v>0</v>
      </c>
      <c r="G106" s="25">
        <f>-SUMIF('1.2 FY2017'!$B:$B,'2.1 Database'!B106,'1.2 FY2017'!$F:$F)</f>
        <v>0</v>
      </c>
      <c r="H106" s="25">
        <f>-SUMIF('1.3 FY2018'!$B:$B,'2.1 Database'!B106,'1.3 FY2018'!$F:$F)</f>
        <v>-1352.9999999999998</v>
      </c>
      <c r="I106" s="2" t="s">
        <v>224</v>
      </c>
    </row>
    <row r="107" spans="2:9" x14ac:dyDescent="0.2">
      <c r="B107" s="2" t="s">
        <v>219</v>
      </c>
      <c r="C107" s="2" t="str">
        <f>VLOOKUP($B107,'1.3 FY2018'!$B$5:$E$78,2,FALSE)</f>
        <v>Impairment of participation</v>
      </c>
      <c r="D107" s="25">
        <f>VLOOKUP($B107,'1.3 FY2018'!$B$5:$E$78,3,FALSE)</f>
        <v>111101</v>
      </c>
      <c r="E107" s="25" t="str">
        <f>VLOOKUP($B107,'1.3 FY2018'!$B$5:$E$78,4,FALSE)</f>
        <v>Not assigned</v>
      </c>
      <c r="F107" s="25">
        <f>-SUMIF('1.1 FY2016'!$B:$B,'2.1 Database'!B107,'1.1 FY2016'!$F:$F)</f>
        <v>0</v>
      </c>
      <c r="G107" s="25">
        <f>-SUMIF('1.2 FY2017'!$B:$B,'2.1 Database'!B107,'1.2 FY2017'!$F:$F)</f>
        <v>0</v>
      </c>
      <c r="H107" s="25">
        <f>-SUMIF('1.3 FY2018'!$B:$B,'2.1 Database'!B107,'1.3 FY2018'!$F:$F)</f>
        <v>0</v>
      </c>
    </row>
    <row r="108" spans="2:9" x14ac:dyDescent="0.2">
      <c r="B108" s="2" t="s">
        <v>220</v>
      </c>
      <c r="C108" s="2" t="str">
        <f>VLOOKUP($B108,'1.3 FY2018'!$B$5:$E$78,2,FALSE)</f>
        <v>Offset segments (tech.)</v>
      </c>
      <c r="D108" s="25">
        <f>VLOOKUP($B108,'1.3 FY2018'!$B$5:$E$78,3,FALSE)</f>
        <v>111101</v>
      </c>
      <c r="E108" s="25" t="str">
        <f>VLOOKUP($B108,'1.3 FY2018'!$B$5:$E$78,4,FALSE)</f>
        <v>Not assigned</v>
      </c>
      <c r="F108" s="25">
        <f>-SUMIF('1.1 FY2016'!$B:$B,'2.1 Database'!B108,'1.1 FY2016'!$F:$F)</f>
        <v>0</v>
      </c>
      <c r="G108" s="25">
        <f>-SUMIF('1.2 FY2017'!$B:$B,'2.1 Database'!B108,'1.2 FY2017'!$F:$F)</f>
        <v>0</v>
      </c>
      <c r="H108" s="25">
        <f>-SUMIF('1.3 FY2018'!$B:$B,'2.1 Database'!B108,'1.3 FY2018'!$F:$F)</f>
        <v>0</v>
      </c>
    </row>
    <row r="111" spans="2:9" ht="15" x14ac:dyDescent="0.25">
      <c r="B111"/>
    </row>
    <row r="112" spans="2:9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  <row r="217" spans="2:2" ht="15" x14ac:dyDescent="0.25">
      <c r="B217"/>
    </row>
    <row r="218" spans="2:2" ht="15" x14ac:dyDescent="0.25">
      <c r="B218"/>
    </row>
  </sheetData>
  <autoFilter ref="B3:I108" xr:uid="{00000000-0001-0000-0700-000000000000}"/>
  <phoneticPr fontId="1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J302"/>
  <sheetViews>
    <sheetView workbookViewId="0"/>
  </sheetViews>
  <sheetFormatPr defaultRowHeight="15" x14ac:dyDescent="0.25"/>
  <cols>
    <col min="1" max="1" width="2" customWidth="1"/>
    <col min="2" max="2" width="21.7109375" bestFit="1" customWidth="1"/>
    <col min="3" max="3" width="10.140625" bestFit="1" customWidth="1"/>
    <col min="6" max="6" width="3" customWidth="1"/>
  </cols>
  <sheetData>
    <row r="1" spans="1:36" ht="15.75" x14ac:dyDescent="0.25">
      <c r="A1" s="27"/>
      <c r="B1" s="31" t="s">
        <v>235</v>
      </c>
      <c r="C1" s="32"/>
      <c r="D1" s="32"/>
      <c r="E1" s="32"/>
      <c r="F1" s="27"/>
      <c r="G1" s="27"/>
      <c r="H1" s="27"/>
      <c r="I1" s="27"/>
      <c r="J1" s="27"/>
      <c r="K1" s="27"/>
      <c r="L1" s="27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5">
      <c r="A2" s="27"/>
      <c r="B2" s="32"/>
      <c r="C2" s="32"/>
      <c r="D2" s="32"/>
      <c r="E2" s="32"/>
      <c r="F2" s="27"/>
      <c r="G2" s="38"/>
      <c r="H2" s="27"/>
      <c r="I2" s="27"/>
      <c r="J2" s="27"/>
      <c r="K2" s="27"/>
      <c r="L2" s="27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t="24" thickBot="1" x14ac:dyDescent="0.3">
      <c r="A3" s="27"/>
      <c r="B3" s="28" t="s">
        <v>240</v>
      </c>
      <c r="C3" s="29" t="s">
        <v>112</v>
      </c>
      <c r="D3" s="29" t="s">
        <v>113</v>
      </c>
      <c r="E3" s="29" t="s">
        <v>114</v>
      </c>
      <c r="F3" s="27"/>
      <c r="G3" s="46" t="s">
        <v>244</v>
      </c>
      <c r="H3" s="46" t="s">
        <v>245</v>
      </c>
      <c r="I3" s="27"/>
      <c r="J3" s="27"/>
      <c r="K3" s="27"/>
      <c r="L3" s="27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x14ac:dyDescent="0.25">
      <c r="A4" s="27"/>
      <c r="B4" s="30" t="s">
        <v>222</v>
      </c>
      <c r="C4" s="40">
        <f>+SUMIF('2.1 Database'!$I:$I,'2.2 P&amp;L statement'!$B4,'2.1 Database'!F:F)/1000000</f>
        <v>14.500341000000001</v>
      </c>
      <c r="D4" s="40">
        <f>+SUMIF('2.1 Database'!$I:$I,'2.2 P&amp;L statement'!$B4,'2.1 Database'!G:G)/1000000</f>
        <v>16.148295364999999</v>
      </c>
      <c r="E4" s="40">
        <f>+SUMIF('2.1 Database'!$I:$I,'2.2 P&amp;L statement'!$B4,'2.1 Database'!H:H)/1000000</f>
        <v>15.047803019</v>
      </c>
      <c r="F4" s="27"/>
      <c r="G4" s="47">
        <f>+IF(ISERROR((D4/C4)-1),"n.a.",IF(((D4/C4)-1)&gt;1,"&gt;100.0%",IF(((D4/C4)-1)&lt;-1,"&lt;-100.0%",((D4/C4)-1))))</f>
        <v>0.11364935245315944</v>
      </c>
      <c r="H4" s="47">
        <f>+IF(ISERROR((E4/D4)-1),"n.a.",IF(((E4/D4)-1)&gt;1,"&gt;100.0%",IF(((E4/D4)-1)&lt;-1,"&lt;-100.0%",((E4/D4)-1))))</f>
        <v>-6.8149134080444096E-2</v>
      </c>
      <c r="I4" s="27"/>
      <c r="J4" s="27"/>
      <c r="K4" s="27"/>
      <c r="L4" s="27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x14ac:dyDescent="0.25">
      <c r="A5" s="27"/>
      <c r="B5" s="30" t="s">
        <v>223</v>
      </c>
      <c r="C5" s="40">
        <f>+SUMIF('2.1 Database'!$I:$I,'2.2 P&amp;L statement'!$B5,'2.1 Database'!F:F)/1000000</f>
        <v>4.7948561920000001</v>
      </c>
      <c r="D5" s="40">
        <f>+SUMIF('2.1 Database'!$I:$I,'2.2 P&amp;L statement'!$B5,'2.1 Database'!G:G)/1000000</f>
        <v>6.9602176449999993</v>
      </c>
      <c r="E5" s="40">
        <f>+SUMIF('2.1 Database'!$I:$I,'2.2 P&amp;L statement'!$B5,'2.1 Database'!H:H)/1000000</f>
        <v>6.3736175140000002</v>
      </c>
      <c r="F5" s="27"/>
      <c r="G5" s="47">
        <f t="shared" ref="G5:G24" si="0">+IF(ISERROR((D5/C5)-1),"n.a.",IF(((D5/C5)-1)&gt;1,"&gt;100.0%",IF(((D5/C5)-1)&lt;-1,"&lt;-100.0%",((D5/C5)-1))))</f>
        <v>0.45160091696030569</v>
      </c>
      <c r="H5" s="47">
        <f t="shared" ref="H5:H24" si="1">+IF(ISERROR((E5/D5)-1),"n.a.",IF(((E5/D5)-1)&gt;1,"&gt;100.0%",IF(((E5/D5)-1)&lt;-1,"&lt;-100.0%",((E5/D5)-1))))</f>
        <v>-8.4278992542911935E-2</v>
      </c>
      <c r="I5" s="27"/>
      <c r="J5" s="27"/>
      <c r="K5" s="27"/>
      <c r="L5" s="27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x14ac:dyDescent="0.25">
      <c r="A6" s="27"/>
      <c r="B6" s="30" t="s">
        <v>226</v>
      </c>
      <c r="C6" s="40">
        <f>+SUMIF('2.1 Database'!$I:$I,'2.2 P&amp;L statement'!$B6,'2.1 Database'!F:F)/1000000</f>
        <v>3.2200542519999997</v>
      </c>
      <c r="D6" s="40">
        <f>+SUMIF('2.1 Database'!$I:$I,'2.2 P&amp;L statement'!$B6,'2.1 Database'!G:G)/1000000</f>
        <v>2.9240919949999999</v>
      </c>
      <c r="E6" s="40">
        <f>+SUMIF('2.1 Database'!$I:$I,'2.2 P&amp;L statement'!$B6,'2.1 Database'!H:H)/1000000</f>
        <v>4.8931777299999997</v>
      </c>
      <c r="F6" s="27"/>
      <c r="G6" s="47">
        <f t="shared" si="0"/>
        <v>-9.1912195832158816E-2</v>
      </c>
      <c r="H6" s="47">
        <f t="shared" si="1"/>
        <v>0.67340074743441836</v>
      </c>
      <c r="I6" s="27"/>
      <c r="J6" s="27"/>
      <c r="K6" s="27"/>
      <c r="L6" s="27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x14ac:dyDescent="0.25">
      <c r="A7" s="27"/>
      <c r="B7" s="41" t="s">
        <v>236</v>
      </c>
      <c r="C7" s="42">
        <f>+SUM(C4:C6)</f>
        <v>22.515251444</v>
      </c>
      <c r="D7" s="42">
        <f t="shared" ref="D7" si="2">+SUM(D4:D6)</f>
        <v>26.032605005000001</v>
      </c>
      <c r="E7" s="42">
        <f>+SUM(E4:E6)</f>
        <v>26.314598263000001</v>
      </c>
      <c r="F7" s="27"/>
      <c r="G7" s="48">
        <f t="shared" si="0"/>
        <v>0.15622093183140207</v>
      </c>
      <c r="H7" s="48">
        <f t="shared" si="1"/>
        <v>1.0832310402506318E-2</v>
      </c>
      <c r="I7" s="27"/>
      <c r="J7" s="27"/>
      <c r="K7" s="27"/>
      <c r="L7" s="27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x14ac:dyDescent="0.25">
      <c r="A8" s="27"/>
      <c r="B8" s="30" t="s">
        <v>104</v>
      </c>
      <c r="C8" s="40">
        <f>+SUMIF('2.1 Database'!$I:$I,'2.2 P&amp;L statement'!$B8,'2.1 Database'!F:F)/1000000</f>
        <v>-4.4289117640000004</v>
      </c>
      <c r="D8" s="40">
        <f>+SUMIF('2.1 Database'!$I:$I,'2.2 P&amp;L statement'!$B8,'2.1 Database'!G:G)/1000000</f>
        <v>-5.4631888250000005</v>
      </c>
      <c r="E8" s="40">
        <f>+SUMIF('2.1 Database'!$I:$I,'2.2 P&amp;L statement'!$B8,'2.1 Database'!H:H)/1000000</f>
        <v>-5.6741520669999996</v>
      </c>
      <c r="F8" s="27"/>
      <c r="G8" s="47">
        <f t="shared" si="0"/>
        <v>0.23352848647991253</v>
      </c>
      <c r="H8" s="47">
        <f t="shared" si="1"/>
        <v>3.861540370609462E-2</v>
      </c>
      <c r="I8" s="27"/>
      <c r="J8" s="27"/>
      <c r="K8" s="27"/>
      <c r="L8" s="27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x14ac:dyDescent="0.25">
      <c r="A9" s="27"/>
      <c r="B9" s="41" t="s">
        <v>237</v>
      </c>
      <c r="C9" s="42">
        <f>+SUM(C7:C8)</f>
        <v>18.086339680000002</v>
      </c>
      <c r="D9" s="42">
        <f t="shared" ref="D9:E9" si="3">+SUM(D7:D8)</f>
        <v>20.569416180000001</v>
      </c>
      <c r="E9" s="42">
        <f t="shared" si="3"/>
        <v>20.640446195999999</v>
      </c>
      <c r="F9" s="27"/>
      <c r="G9" s="48">
        <f t="shared" si="0"/>
        <v>0.13729016174266606</v>
      </c>
      <c r="H9" s="48">
        <f t="shared" si="1"/>
        <v>3.4531858064625887E-3</v>
      </c>
      <c r="I9" s="27"/>
      <c r="J9" s="27"/>
      <c r="K9" s="27"/>
      <c r="L9" s="27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x14ac:dyDescent="0.25">
      <c r="A10" s="27"/>
      <c r="B10" s="30" t="s">
        <v>224</v>
      </c>
      <c r="C10" s="40">
        <f>+SUMIF('2.1 Database'!$I:$I,'2.2 P&amp;L statement'!$B10,'2.1 Database'!F:F)/1000000</f>
        <v>-3.3966489799999997</v>
      </c>
      <c r="D10" s="40">
        <f>+SUMIF('2.1 Database'!$I:$I,'2.2 P&amp;L statement'!$B10,'2.1 Database'!G:G)/1000000</f>
        <v>-3.7048433449999996</v>
      </c>
      <c r="E10" s="40">
        <f>+SUMIF('2.1 Database'!$I:$I,'2.2 P&amp;L statement'!$B10,'2.1 Database'!H:H)/1000000</f>
        <v>-6.6874830379999999</v>
      </c>
      <c r="F10" s="27"/>
      <c r="G10" s="47">
        <f t="shared" si="0"/>
        <v>9.0734829184498045E-2</v>
      </c>
      <c r="H10" s="47">
        <f t="shared" si="1"/>
        <v>0.80506499607475335</v>
      </c>
      <c r="I10" s="27"/>
      <c r="J10" s="27"/>
      <c r="K10" s="27"/>
      <c r="L10" s="27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x14ac:dyDescent="0.25">
      <c r="A11" s="27"/>
      <c r="B11" s="30" t="s">
        <v>225</v>
      </c>
      <c r="C11" s="40">
        <f>+SUMIF('2.1 Database'!$I:$I,'2.2 P&amp;L statement'!$B11,'2.1 Database'!F:F)/1000000</f>
        <v>-6.17073904</v>
      </c>
      <c r="D11" s="40">
        <f>+SUMIF('2.1 Database'!$I:$I,'2.2 P&amp;L statement'!$B11,'2.1 Database'!G:G)/1000000</f>
        <v>-8.0718589449999989</v>
      </c>
      <c r="E11" s="40">
        <f>+SUMIF('2.1 Database'!$I:$I,'2.2 P&amp;L statement'!$B11,'2.1 Database'!H:H)/1000000</f>
        <v>-5.8358881759999992</v>
      </c>
      <c r="F11" s="27"/>
      <c r="G11" s="47">
        <f t="shared" si="0"/>
        <v>0.30808625882192531</v>
      </c>
      <c r="H11" s="47">
        <f t="shared" si="1"/>
        <v>-0.27700815688622027</v>
      </c>
      <c r="I11" s="27"/>
      <c r="J11" s="27"/>
      <c r="K11" s="27"/>
      <c r="L11" s="27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x14ac:dyDescent="0.25">
      <c r="A12" s="27"/>
      <c r="B12" s="30" t="s">
        <v>227</v>
      </c>
      <c r="C12" s="40">
        <f>+SUMIF('2.1 Database'!$I:$I,'2.2 P&amp;L statement'!$B12,'2.1 Database'!F:F)/1000000</f>
        <v>-1.127445872</v>
      </c>
      <c r="D12" s="40">
        <f>+SUMIF('2.1 Database'!$I:$I,'2.2 P&amp;L statement'!$B12,'2.1 Database'!G:G)/1000000</f>
        <v>-1.0553814750000001</v>
      </c>
      <c r="E12" s="40">
        <f>+SUMIF('2.1 Database'!$I:$I,'2.2 P&amp;L statement'!$B12,'2.1 Database'!H:H)/1000000</f>
        <v>1.596053449</v>
      </c>
      <c r="F12" s="27"/>
      <c r="G12" s="47">
        <f t="shared" si="0"/>
        <v>-6.391827651305626E-2</v>
      </c>
      <c r="H12" s="47" t="str">
        <f t="shared" si="1"/>
        <v>&lt;-100.0%</v>
      </c>
      <c r="I12" s="27"/>
      <c r="J12" s="27"/>
      <c r="K12" s="27"/>
      <c r="L12" s="27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x14ac:dyDescent="0.25">
      <c r="A13" s="27"/>
      <c r="B13" s="30" t="s">
        <v>228</v>
      </c>
      <c r="C13" s="40">
        <f>+SUMIF('2.1 Database'!$I:$I,'2.2 P&amp;L statement'!$B13,'2.1 Database'!F:F)/1000000</f>
        <v>-2.5430882079999995</v>
      </c>
      <c r="D13" s="40">
        <f>+SUMIF('2.1 Database'!$I:$I,'2.2 P&amp;L statement'!$B13,'2.1 Database'!G:G)/1000000</f>
        <v>-1.837786345</v>
      </c>
      <c r="E13" s="40">
        <f>+SUMIF('2.1 Database'!$I:$I,'2.2 P&amp;L statement'!$B13,'2.1 Database'!H:H)/1000000</f>
        <v>-1.9549839309999999</v>
      </c>
      <c r="F13" s="27"/>
      <c r="G13" s="47">
        <f t="shared" si="0"/>
        <v>-0.27734069969782171</v>
      </c>
      <c r="H13" s="47">
        <f t="shared" si="1"/>
        <v>6.3771061483210545E-2</v>
      </c>
      <c r="I13" s="27"/>
      <c r="J13" s="27"/>
      <c r="K13" s="27"/>
      <c r="L13" s="27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x14ac:dyDescent="0.25">
      <c r="A14" s="27"/>
      <c r="B14" s="30" t="s">
        <v>229</v>
      </c>
      <c r="C14" s="40">
        <f>+SUMIF('2.1 Database'!$I:$I,'2.2 P&amp;L statement'!$B14,'2.1 Database'!F:F)/1000000</f>
        <v>-1.8135250039999999</v>
      </c>
      <c r="D14" s="40">
        <f>+SUMIF('2.1 Database'!$I:$I,'2.2 P&amp;L statement'!$B14,'2.1 Database'!G:G)/1000000</f>
        <v>-2.3932591899999998</v>
      </c>
      <c r="E14" s="40">
        <f>+SUMIF('2.1 Database'!$I:$I,'2.2 P&amp;L statement'!$B14,'2.1 Database'!H:H)/1000000</f>
        <v>-2.5144318869999998</v>
      </c>
      <c r="F14" s="27"/>
      <c r="G14" s="47">
        <f t="shared" si="0"/>
        <v>0.31967256294857238</v>
      </c>
      <c r="H14" s="47">
        <f t="shared" si="1"/>
        <v>5.0630829082912721E-2</v>
      </c>
      <c r="I14" s="27"/>
      <c r="J14" s="27"/>
      <c r="K14" s="27"/>
      <c r="L14" s="27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x14ac:dyDescent="0.25">
      <c r="A15" s="27"/>
      <c r="B15" s="30" t="s">
        <v>74</v>
      </c>
      <c r="C15" s="40">
        <f>+SUMIF('2.1 Database'!$I:$I,'2.2 P&amp;L statement'!$B15,'2.1 Database'!F:F)/1000000</f>
        <v>5.7221999999999995E-5</v>
      </c>
      <c r="D15" s="40">
        <f>+SUMIF('2.1 Database'!$I:$I,'2.2 P&amp;L statement'!$B15,'2.1 Database'!G:G)/1000000</f>
        <v>-7.3574899999999995E-3</v>
      </c>
      <c r="E15" s="40">
        <f>+SUMIF('2.1 Database'!$I:$I,'2.2 P&amp;L statement'!$B15,'2.1 Database'!H:H)/1000000</f>
        <v>4.678542799999999E-2</v>
      </c>
      <c r="F15" s="27"/>
      <c r="G15" s="47" t="str">
        <f t="shared" si="0"/>
        <v>&lt;-100.0%</v>
      </c>
      <c r="H15" s="47" t="str">
        <f t="shared" si="1"/>
        <v>&lt;-100.0%</v>
      </c>
      <c r="I15" s="27"/>
      <c r="J15" s="27"/>
      <c r="K15" s="27"/>
      <c r="L15" s="27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x14ac:dyDescent="0.25">
      <c r="A16" s="27"/>
      <c r="B16" s="30" t="s">
        <v>67</v>
      </c>
      <c r="C16" s="40">
        <f>+SUMIF('2.1 Database'!$I:$I,'2.2 P&amp;L statement'!$B16,'2.1 Database'!F:F)/1000000</f>
        <v>5.2683321979999995</v>
      </c>
      <c r="D16" s="40">
        <f>+SUMIF('2.1 Database'!$I:$I,'2.2 P&amp;L statement'!$B16,'2.1 Database'!G:G)/1000000</f>
        <v>0.74482694999999999</v>
      </c>
      <c r="E16" s="40">
        <f>+SUMIF('2.1 Database'!$I:$I,'2.2 P&amp;L statement'!$B16,'2.1 Database'!H:H)/1000000</f>
        <v>0</v>
      </c>
      <c r="F16" s="27"/>
      <c r="G16" s="47">
        <f t="shared" si="0"/>
        <v>-0.85862187082986985</v>
      </c>
      <c r="H16" s="47">
        <f t="shared" si="1"/>
        <v>-1</v>
      </c>
      <c r="I16" s="27"/>
      <c r="J16" s="27"/>
      <c r="K16" s="27"/>
      <c r="L16" s="27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x14ac:dyDescent="0.25">
      <c r="A17" s="27"/>
      <c r="B17" s="43" t="s">
        <v>238</v>
      </c>
      <c r="C17" s="44">
        <f>+SUM(C9:C16)</f>
        <v>8.3032819960000026</v>
      </c>
      <c r="D17" s="44">
        <f t="shared" ref="D17:E17" si="4">+SUM(D9:D16)</f>
        <v>4.2437563400000018</v>
      </c>
      <c r="E17" s="44">
        <f t="shared" si="4"/>
        <v>5.2904980409999993</v>
      </c>
      <c r="F17" s="27"/>
      <c r="G17" s="49">
        <f t="shared" si="0"/>
        <v>-0.48890615276653548</v>
      </c>
      <c r="H17" s="49">
        <f t="shared" si="1"/>
        <v>0.24665452423217982</v>
      </c>
      <c r="I17" s="27"/>
      <c r="J17" s="27"/>
      <c r="K17" s="27"/>
      <c r="L17" s="27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x14ac:dyDescent="0.25">
      <c r="A18" s="27"/>
      <c r="B18" s="33" t="s">
        <v>72</v>
      </c>
      <c r="C18" s="40">
        <f>+SUMIF('2.1 Database'!$I:$I,'2.2 P&amp;L statement'!$B18,'2.1 Database'!F:F)/1000000</f>
        <v>-2.045243514</v>
      </c>
      <c r="D18" s="40">
        <f>+SUMIF('2.1 Database'!$I:$I,'2.2 P&amp;L statement'!$B18,'2.1 Database'!G:G)/1000000</f>
        <v>-2.0440058150000002</v>
      </c>
      <c r="E18" s="40">
        <f>+SUMIF('2.1 Database'!$I:$I,'2.2 P&amp;L statement'!$B18,'2.1 Database'!H:H)/1000000</f>
        <v>-1.8883615140000001</v>
      </c>
      <c r="F18" s="27"/>
      <c r="G18" s="47">
        <f t="shared" si="0"/>
        <v>-6.0515972378227811E-4</v>
      </c>
      <c r="H18" s="47">
        <f t="shared" si="1"/>
        <v>-7.6146701666795491E-2</v>
      </c>
      <c r="I18" s="27"/>
      <c r="J18" s="27"/>
      <c r="K18" s="27"/>
      <c r="L18" s="2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x14ac:dyDescent="0.25">
      <c r="A19" s="27"/>
      <c r="B19" s="41" t="s">
        <v>239</v>
      </c>
      <c r="C19" s="42">
        <f>+SUM(C17:C18)</f>
        <v>6.2580384820000026</v>
      </c>
      <c r="D19" s="42">
        <f t="shared" ref="D19:E19" si="5">+SUM(D17:D18)</f>
        <v>2.1997505250000016</v>
      </c>
      <c r="E19" s="42">
        <f t="shared" si="5"/>
        <v>3.4021365269999992</v>
      </c>
      <c r="F19" s="27"/>
      <c r="G19" s="48">
        <f t="shared" si="0"/>
        <v>-0.64849201050342775</v>
      </c>
      <c r="H19" s="48">
        <f t="shared" si="1"/>
        <v>0.54660107513782585</v>
      </c>
      <c r="I19" s="27"/>
      <c r="J19" s="27"/>
      <c r="K19" s="27"/>
      <c r="L19" s="27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x14ac:dyDescent="0.25">
      <c r="A20" s="27"/>
      <c r="B20" s="30" t="s">
        <v>230</v>
      </c>
      <c r="C20" s="40">
        <f>+SUMIF('2.1 Database'!$I:$I,'2.2 P&amp;L statement'!$B20,'2.1 Database'!F:F)/1000000</f>
        <v>-2.8426923660000001</v>
      </c>
      <c r="D20" s="40">
        <f>+SUMIF('2.1 Database'!$I:$I,'2.2 P&amp;L statement'!$B20,'2.1 Database'!G:G)/1000000</f>
        <v>-2.7107469200000001</v>
      </c>
      <c r="E20" s="40">
        <f>+SUMIF('2.1 Database'!$I:$I,'2.2 P&amp;L statement'!$B20,'2.1 Database'!H:H)/1000000</f>
        <v>-2.250707829</v>
      </c>
      <c r="F20" s="27"/>
      <c r="G20" s="47">
        <f t="shared" si="0"/>
        <v>-4.6415661285805099E-2</v>
      </c>
      <c r="H20" s="47">
        <f t="shared" si="1"/>
        <v>-0.16970934748862498</v>
      </c>
      <c r="I20" s="27"/>
      <c r="J20" s="27"/>
      <c r="K20" s="27"/>
      <c r="L20" s="27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x14ac:dyDescent="0.25">
      <c r="A21" s="27"/>
      <c r="B21" s="30" t="s">
        <v>231</v>
      </c>
      <c r="C21" s="40">
        <f>+SUMIF('2.1 Database'!$I:$I,'2.2 P&amp;L statement'!$B21,'2.1 Database'!F:F)/1000000</f>
        <v>-2.2762999999999999E-2</v>
      </c>
      <c r="D21" s="40">
        <f>+SUMIF('2.1 Database'!$I:$I,'2.2 P&amp;L statement'!$B21,'2.1 Database'!G:G)/1000000</f>
        <v>-4.5786198000000002</v>
      </c>
      <c r="E21" s="40">
        <f>+SUMIF('2.1 Database'!$I:$I,'2.2 P&amp;L statement'!$B21,'2.1 Database'!H:H)/1000000</f>
        <v>-7.1731959999999989E-3</v>
      </c>
      <c r="F21" s="27"/>
      <c r="G21" s="47" t="str">
        <f t="shared" si="0"/>
        <v>&gt;100.0%</v>
      </c>
      <c r="H21" s="47">
        <f t="shared" si="1"/>
        <v>-0.99843332787754069</v>
      </c>
      <c r="I21" s="27"/>
      <c r="J21" s="27"/>
      <c r="K21" s="27"/>
      <c r="L21" s="2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1:36" x14ac:dyDescent="0.25">
      <c r="A22" s="27"/>
      <c r="B22" s="41" t="s">
        <v>241</v>
      </c>
      <c r="C22" s="42">
        <f>+SUM(C19:C21)</f>
        <v>3.3925831160000026</v>
      </c>
      <c r="D22" s="42">
        <f t="shared" ref="D22:E22" si="6">+SUM(D19:D21)</f>
        <v>-5.0896161949999987</v>
      </c>
      <c r="E22" s="42">
        <f t="shared" si="6"/>
        <v>1.1442555019999991</v>
      </c>
      <c r="F22" s="27"/>
      <c r="G22" s="48" t="str">
        <f t="shared" si="0"/>
        <v>&lt;-100.0%</v>
      </c>
      <c r="H22" s="48" t="str">
        <f t="shared" si="1"/>
        <v>&lt;-100.0%</v>
      </c>
      <c r="I22" s="27"/>
      <c r="J22" s="27"/>
      <c r="K22" s="27"/>
      <c r="L22" s="27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x14ac:dyDescent="0.25">
      <c r="A23" s="27"/>
      <c r="B23" s="30" t="s">
        <v>232</v>
      </c>
      <c r="C23" s="40">
        <f>+SUMIF('2.1 Database'!$I:$I,'2.2 P&amp;L statement'!$B23,'2.1 Database'!F:F)/1000000</f>
        <v>-0.48846512199999997</v>
      </c>
      <c r="D23" s="40">
        <f>+SUMIF('2.1 Database'!$I:$I,'2.2 P&amp;L statement'!$B23,'2.1 Database'!G:G)/1000000</f>
        <v>-0.98419196500000017</v>
      </c>
      <c r="E23" s="40">
        <f>+SUMIF('2.1 Database'!$I:$I,'2.2 P&amp;L statement'!$B23,'2.1 Database'!H:H)/1000000</f>
        <v>-0.36496502599999997</v>
      </c>
      <c r="F23" s="27"/>
      <c r="G23" s="47" t="str">
        <f t="shared" si="0"/>
        <v>&gt;100.0%</v>
      </c>
      <c r="H23" s="47">
        <f t="shared" si="1"/>
        <v>-0.62917292664546398</v>
      </c>
      <c r="I23" s="27"/>
      <c r="J23" s="27"/>
      <c r="K23" s="27"/>
      <c r="L23" s="27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x14ac:dyDescent="0.25">
      <c r="A24" s="27"/>
      <c r="B24" s="33" t="s">
        <v>233</v>
      </c>
      <c r="C24" s="45">
        <f>+SUM(C22:C23)</f>
        <v>2.9041179940000026</v>
      </c>
      <c r="D24" s="45">
        <f t="shared" ref="D24:E24" si="7">+SUM(D22:D23)</f>
        <v>-6.0738081599999987</v>
      </c>
      <c r="E24" s="45">
        <f t="shared" si="7"/>
        <v>0.77929047599999923</v>
      </c>
      <c r="F24" s="27"/>
      <c r="G24" s="50" t="str">
        <f t="shared" si="0"/>
        <v>&lt;-100.0%</v>
      </c>
      <c r="H24" s="50" t="str">
        <f t="shared" si="1"/>
        <v>&lt;-100.0%</v>
      </c>
      <c r="I24" s="27"/>
      <c r="J24" s="27"/>
      <c r="K24" s="27"/>
      <c r="L24" s="27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x14ac:dyDescent="0.25">
      <c r="A26" s="27"/>
      <c r="B26" s="51" t="s">
        <v>246</v>
      </c>
      <c r="C26" s="51"/>
      <c r="D26" s="51"/>
      <c r="E26" s="51"/>
      <c r="F26" s="27"/>
      <c r="G26" s="27"/>
      <c r="H26" s="27"/>
      <c r="I26" s="27"/>
      <c r="J26" s="27"/>
      <c r="K26" s="27"/>
      <c r="L26" s="27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x14ac:dyDescent="0.25">
      <c r="A27" s="27"/>
      <c r="B27" s="51" t="s">
        <v>247</v>
      </c>
      <c r="C27" s="47">
        <f>C9/C7</f>
        <v>0.80329281353949789</v>
      </c>
      <c r="D27" s="47">
        <f t="shared" ref="D27:E27" si="8">D9/D7</f>
        <v>0.79014052477841912</v>
      </c>
      <c r="E27" s="47">
        <f t="shared" si="8"/>
        <v>0.78437246085651935</v>
      </c>
      <c r="F27" s="27"/>
      <c r="G27" s="27"/>
      <c r="H27" s="27"/>
      <c r="I27" s="27"/>
      <c r="J27" s="27"/>
      <c r="K27" s="27"/>
      <c r="L27" s="27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x14ac:dyDescent="0.25">
      <c r="A28" s="27"/>
      <c r="B28" s="51" t="s">
        <v>248</v>
      </c>
      <c r="C28" s="47">
        <f>C17/C7</f>
        <v>0.36878477758296191</v>
      </c>
      <c r="D28" s="47">
        <f t="shared" ref="D28:E28" si="9">D17/D7</f>
        <v>0.16301696811306118</v>
      </c>
      <c r="E28" s="47">
        <f t="shared" si="9"/>
        <v>0.20104802619916018</v>
      </c>
      <c r="F28" s="27"/>
      <c r="G28" s="27"/>
      <c r="H28" s="27"/>
      <c r="I28" s="27"/>
      <c r="J28" s="27"/>
      <c r="K28" s="27"/>
      <c r="L28" s="27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x14ac:dyDescent="0.25">
      <c r="A29" s="27"/>
      <c r="B29" s="51" t="s">
        <v>249</v>
      </c>
      <c r="C29" s="47">
        <f>C19/C7</f>
        <v>0.2779466397506159</v>
      </c>
      <c r="D29" s="47">
        <f t="shared" ref="D29:E29" si="10">D19/D7</f>
        <v>8.4499823378317393E-2</v>
      </c>
      <c r="E29" s="47">
        <f t="shared" si="10"/>
        <v>0.12928704033394345</v>
      </c>
      <c r="F29" s="27"/>
      <c r="G29" s="27"/>
      <c r="H29" s="27"/>
      <c r="I29" s="27"/>
      <c r="J29" s="27"/>
      <c r="K29" s="27"/>
      <c r="L29" s="27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x14ac:dyDescent="0.25">
      <c r="A40" s="27"/>
      <c r="B40" s="27" t="s">
        <v>242</v>
      </c>
      <c r="C40" s="34">
        <f>+SUMIF('2.1 Database'!$I:$I,'2.2 P&amp;L statement'!$B40,'2.1 Database'!F:F)/1000000</f>
        <v>-2.9041179939999986</v>
      </c>
      <c r="D40" s="34">
        <f>+SUMIF('2.1 Database'!$I:$I,'2.2 P&amp;L statement'!$B40,'2.1 Database'!G:G)/1000000</f>
        <v>6.0738081600000005</v>
      </c>
      <c r="E40" s="34">
        <f>+SUMIF('2.1 Database'!$I:$I,'2.2 P&amp;L statement'!$B40,'2.1 Database'!H:H)/1000000</f>
        <v>-0.77929047600000001</v>
      </c>
      <c r="F40" s="27"/>
      <c r="G40" s="27"/>
      <c r="H40" s="27"/>
      <c r="I40" s="27"/>
      <c r="J40" s="27"/>
      <c r="K40" s="27"/>
      <c r="L40" s="27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x14ac:dyDescent="0.25">
      <c r="A41" s="27"/>
      <c r="B41" s="35" t="s">
        <v>243</v>
      </c>
      <c r="C41" s="36">
        <f>ROUND(C24+C40,9)</f>
        <v>0</v>
      </c>
      <c r="D41" s="37">
        <f>D24+D40</f>
        <v>0</v>
      </c>
      <c r="E41" s="37">
        <f>E24+E40</f>
        <v>0</v>
      </c>
      <c r="F41" s="27"/>
      <c r="G41" s="27"/>
      <c r="H41" s="27"/>
      <c r="I41" s="27"/>
      <c r="J41" s="27"/>
      <c r="K41" s="27"/>
      <c r="L41" s="27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</row>
    <row r="44" spans="1:36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</row>
    <row r="45" spans="1:36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</row>
    <row r="46" spans="1:36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</row>
    <row r="47" spans="1:36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</row>
    <row r="48" spans="1:36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</row>
    <row r="49" spans="1:12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</row>
    <row r="50" spans="1:12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</row>
    <row r="51" spans="1:12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</row>
    <row r="52" spans="1:12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</row>
    <row r="53" spans="1:12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</row>
    <row r="54" spans="1:12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</row>
    <row r="55" spans="1:12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</row>
    <row r="56" spans="1:12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</row>
    <row r="57" spans="1:12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</row>
    <row r="58" spans="1:12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</row>
    <row r="59" spans="1:12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</row>
    <row r="60" spans="1:12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</row>
    <row r="61" spans="1:12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</row>
    <row r="62" spans="1:12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</row>
    <row r="63" spans="1:12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</row>
    <row r="64" spans="1:12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</row>
    <row r="65" spans="1:12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</row>
    <row r="66" spans="1:12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</row>
    <row r="67" spans="1:12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</row>
    <row r="68" spans="1:12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</row>
    <row r="69" spans="1:12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</row>
    <row r="70" spans="1:12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</row>
    <row r="71" spans="1:12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</row>
    <row r="72" spans="1:12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</row>
    <row r="73" spans="1:12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</row>
    <row r="74" spans="1:12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</row>
    <row r="75" spans="1:12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</row>
    <row r="76" spans="1:12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</row>
    <row r="77" spans="1:12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</row>
    <row r="78" spans="1:12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</row>
    <row r="79" spans="1:12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</row>
    <row r="80" spans="1:12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</row>
    <row r="81" spans="1:12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</row>
    <row r="82" spans="1:12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</row>
    <row r="83" spans="1:12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</row>
    <row r="84" spans="1:12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</row>
    <row r="85" spans="1:12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</row>
    <row r="86" spans="1:12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</row>
    <row r="87" spans="1:12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</row>
    <row r="88" spans="1:12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</row>
    <row r="89" spans="1:12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</row>
    <row r="90" spans="1:12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</row>
    <row r="91" spans="1:12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</row>
    <row r="92" spans="1:12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</row>
    <row r="93" spans="1:12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</row>
    <row r="94" spans="1:12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</row>
    <row r="95" spans="1:12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</row>
    <row r="96" spans="1:12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</row>
    <row r="97" spans="1:12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</row>
    <row r="98" spans="1:12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</row>
    <row r="99" spans="1:12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</row>
    <row r="100" spans="1:12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</row>
    <row r="101" spans="1:12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</row>
    <row r="102" spans="1:12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</row>
    <row r="103" spans="1:12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</row>
    <row r="104" spans="1:12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</row>
    <row r="105" spans="1:12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</row>
    <row r="106" spans="1:12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</row>
    <row r="107" spans="1:12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</row>
    <row r="108" spans="1:12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</row>
    <row r="109" spans="1:12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</row>
    <row r="110" spans="1:12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</row>
    <row r="111" spans="1:12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</row>
    <row r="112" spans="1:12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</row>
    <row r="113" spans="1:12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</row>
    <row r="114" spans="1:12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</row>
    <row r="115" spans="1:12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</row>
    <row r="116" spans="1:12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</row>
    <row r="117" spans="1:12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</row>
    <row r="118" spans="1:12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</row>
    <row r="119" spans="1:12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</row>
    <row r="120" spans="1:12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</row>
    <row r="121" spans="1:12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</row>
    <row r="122" spans="1:12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</row>
    <row r="123" spans="1:12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</row>
    <row r="124" spans="1:12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</row>
    <row r="125" spans="1:12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</row>
    <row r="126" spans="1:12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</row>
    <row r="127" spans="1:12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</row>
    <row r="128" spans="1:12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</row>
    <row r="129" spans="1:12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</row>
    <row r="130" spans="1:12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</row>
    <row r="131" spans="1:12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</row>
    <row r="132" spans="1:12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</row>
    <row r="133" spans="1:12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</row>
    <row r="134" spans="1:12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</row>
    <row r="135" spans="1:12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</row>
    <row r="136" spans="1:12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</row>
    <row r="137" spans="1:12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</row>
    <row r="138" spans="1:12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</row>
    <row r="139" spans="1:12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</row>
    <row r="140" spans="1:12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</row>
    <row r="141" spans="1:12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</row>
    <row r="142" spans="1:12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</row>
    <row r="143" spans="1:12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</row>
    <row r="144" spans="1:12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</row>
    <row r="145" spans="1:12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</row>
    <row r="146" spans="1:12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</row>
    <row r="147" spans="1:12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</row>
    <row r="148" spans="1:12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</row>
    <row r="149" spans="1:12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</row>
    <row r="150" spans="1:12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</row>
    <row r="151" spans="1:12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</row>
    <row r="152" spans="1:12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</row>
    <row r="153" spans="1:12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</row>
    <row r="154" spans="1:12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</row>
    <row r="155" spans="1:12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</row>
    <row r="156" spans="1:12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</row>
    <row r="157" spans="1:12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</row>
    <row r="158" spans="1:12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</row>
    <row r="159" spans="1:12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</row>
    <row r="160" spans="1:12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</row>
    <row r="161" spans="1:12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</row>
    <row r="162" spans="1:12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</row>
    <row r="163" spans="1:12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</row>
    <row r="164" spans="1:12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</row>
    <row r="165" spans="1:12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</row>
    <row r="166" spans="1:12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</row>
    <row r="167" spans="1:12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</row>
    <row r="168" spans="1:12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</row>
    <row r="169" spans="1:12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</row>
    <row r="170" spans="1:12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</row>
    <row r="171" spans="1:12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</row>
    <row r="172" spans="1:12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</row>
    <row r="173" spans="1:12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</row>
    <row r="174" spans="1:12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</row>
    <row r="175" spans="1:12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</row>
    <row r="176" spans="1:12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</row>
    <row r="177" spans="1:12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</row>
    <row r="178" spans="1:12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</row>
    <row r="179" spans="1:12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</row>
    <row r="180" spans="1:12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</row>
    <row r="181" spans="1:12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</row>
    <row r="182" spans="1:12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</row>
    <row r="183" spans="1:12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</row>
    <row r="184" spans="1:12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</row>
    <row r="185" spans="1:12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</row>
    <row r="186" spans="1:12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</row>
    <row r="187" spans="1:12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</row>
    <row r="188" spans="1:12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</row>
    <row r="189" spans="1:12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</row>
    <row r="190" spans="1:12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</row>
    <row r="191" spans="1:12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</row>
    <row r="192" spans="1:12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</row>
    <row r="193" spans="1:12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</row>
    <row r="194" spans="1:12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</row>
    <row r="195" spans="1:12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</row>
    <row r="196" spans="1:12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</row>
    <row r="197" spans="1:12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</row>
    <row r="198" spans="1:12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</row>
    <row r="199" spans="1:12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</row>
    <row r="200" spans="1:12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</row>
    <row r="201" spans="1:12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</row>
    <row r="202" spans="1:12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</row>
    <row r="203" spans="1:12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</row>
    <row r="204" spans="1:12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</row>
    <row r="205" spans="1:12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</row>
    <row r="206" spans="1:12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</row>
    <row r="207" spans="1:12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</row>
    <row r="208" spans="1:12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</row>
    <row r="209" spans="1:12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</row>
    <row r="210" spans="1:12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</row>
    <row r="211" spans="1:12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</row>
    <row r="212" spans="1:12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</row>
    <row r="213" spans="1:12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</row>
    <row r="214" spans="1:12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</row>
    <row r="215" spans="1:12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</row>
    <row r="216" spans="1:12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</row>
    <row r="217" spans="1:12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</row>
    <row r="218" spans="1:12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</row>
    <row r="219" spans="1:12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</row>
    <row r="220" spans="1:12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</row>
    <row r="221" spans="1:12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</row>
    <row r="222" spans="1:12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</row>
    <row r="223" spans="1:12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</row>
    <row r="224" spans="1:12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</row>
    <row r="225" spans="1:12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</row>
    <row r="226" spans="1:12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</row>
    <row r="227" spans="1:12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</row>
    <row r="228" spans="1:12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</row>
    <row r="229" spans="1:12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</row>
    <row r="230" spans="1:12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</row>
    <row r="231" spans="1:12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</row>
    <row r="232" spans="1:12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</row>
    <row r="233" spans="1:12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</row>
    <row r="234" spans="1:12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</row>
    <row r="235" spans="1:12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</row>
    <row r="236" spans="1:12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</row>
    <row r="237" spans="1:12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</row>
    <row r="238" spans="1:12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</row>
    <row r="239" spans="1:12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</row>
    <row r="240" spans="1:12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</row>
    <row r="241" spans="1:12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</row>
    <row r="242" spans="1:12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</row>
    <row r="243" spans="1:12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</row>
    <row r="244" spans="1:12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</row>
    <row r="245" spans="1:12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</row>
    <row r="246" spans="1:12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</row>
    <row r="247" spans="1:12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</row>
    <row r="248" spans="1:12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</row>
    <row r="249" spans="1:12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</row>
    <row r="250" spans="1:12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</row>
    <row r="251" spans="1:12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</row>
    <row r="252" spans="1:12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</row>
    <row r="253" spans="1:12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</row>
    <row r="254" spans="1:12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</row>
    <row r="255" spans="1:12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</row>
    <row r="256" spans="1:12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</row>
    <row r="257" spans="1:12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</row>
    <row r="258" spans="1:12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</row>
    <row r="259" spans="1:12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</row>
    <row r="260" spans="1:12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</row>
    <row r="261" spans="1:12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</row>
    <row r="262" spans="1:12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</row>
    <row r="263" spans="1:12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</row>
    <row r="264" spans="1:12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</row>
    <row r="265" spans="1:12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</row>
    <row r="266" spans="1:12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</row>
    <row r="267" spans="1:12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</row>
    <row r="268" spans="1:12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</row>
    <row r="269" spans="1:12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</row>
    <row r="270" spans="1:12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</row>
    <row r="271" spans="1:12" x14ac:dyDescent="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</row>
    <row r="272" spans="1:12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</row>
    <row r="273" spans="1:12" x14ac:dyDescent="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</row>
    <row r="274" spans="1:12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</row>
    <row r="275" spans="1:12" x14ac:dyDescent="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</row>
    <row r="276" spans="1:12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</row>
    <row r="277" spans="1:12" x14ac:dyDescent="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</row>
    <row r="278" spans="1:12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</row>
    <row r="279" spans="1:12" x14ac:dyDescent="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</row>
    <row r="280" spans="1:12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</row>
    <row r="281" spans="1:12" x14ac:dyDescent="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</row>
    <row r="282" spans="1:12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</row>
    <row r="283" spans="1:12" x14ac:dyDescent="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</row>
    <row r="284" spans="1:12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</row>
    <row r="285" spans="1:12" x14ac:dyDescent="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</row>
    <row r="286" spans="1:12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</row>
    <row r="287" spans="1:12" x14ac:dyDescent="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</row>
    <row r="288" spans="1:12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</row>
    <row r="289" spans="1:12" x14ac:dyDescent="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</row>
    <row r="290" spans="1:12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</row>
    <row r="291" spans="1:12" x14ac:dyDescent="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</row>
    <row r="292" spans="1:12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</row>
    <row r="293" spans="1:12" x14ac:dyDescent="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</row>
    <row r="294" spans="1:12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</row>
    <row r="295" spans="1:12" x14ac:dyDescent="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</row>
    <row r="296" spans="1:12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</row>
    <row r="297" spans="1:12" x14ac:dyDescent="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</row>
    <row r="298" spans="1:12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</row>
    <row r="299" spans="1:12" x14ac:dyDescent="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</row>
    <row r="300" spans="1:12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</row>
    <row r="301" spans="1:12" x14ac:dyDescent="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</row>
    <row r="302" spans="1:12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</row>
  </sheetData>
  <sortState xmlns:xlrd2="http://schemas.microsoft.com/office/spreadsheetml/2017/richdata2" ref="G5:G21">
    <sortCondition ref="G5:G21"/>
  </sortState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:AC44"/>
  <sheetViews>
    <sheetView workbookViewId="0"/>
  </sheetViews>
  <sheetFormatPr defaultRowHeight="15" x14ac:dyDescent="0.25"/>
  <cols>
    <col min="1" max="1" width="2.5703125" customWidth="1"/>
  </cols>
  <sheetData>
    <row r="1" spans="1:29" ht="15.75" x14ac:dyDescent="0.25">
      <c r="A1" s="3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</row>
    <row r="10" spans="1:2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ht="40.5" x14ac:dyDescent="0.55000000000000004">
      <c r="A12" s="4" t="s">
        <v>256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  <row r="39" spans="1:2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</row>
    <row r="40" spans="1:2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V38"/>
  <sheetViews>
    <sheetView workbookViewId="0"/>
  </sheetViews>
  <sheetFormatPr defaultRowHeight="15" x14ac:dyDescent="0.25"/>
  <cols>
    <col min="1" max="1" width="3" customWidth="1"/>
    <col min="2" max="2" width="25.5703125" bestFit="1" customWidth="1"/>
  </cols>
  <sheetData>
    <row r="1" spans="1:48" ht="15.75" x14ac:dyDescent="0.25">
      <c r="A1" s="1"/>
      <c r="B1" s="3" t="s">
        <v>251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x14ac:dyDescent="0.25">
      <c r="A3" s="1"/>
      <c r="B3" s="59"/>
      <c r="C3" s="57" t="str">
        <f>'2.2 P&amp;L statement'!C3</f>
        <v>FY2016</v>
      </c>
      <c r="D3" s="57" t="str">
        <f>'2.2 P&amp;L statement'!D3</f>
        <v>FY2017</v>
      </c>
      <c r="E3" s="57" t="str">
        <f>'2.2 P&amp;L statement'!E3</f>
        <v>FY2018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x14ac:dyDescent="0.25">
      <c r="A4" s="1"/>
      <c r="B4" s="55" t="s">
        <v>222</v>
      </c>
      <c r="C4" s="56">
        <f>'2.2 P&amp;L statement'!C4</f>
        <v>14.500341000000001</v>
      </c>
      <c r="D4" s="56">
        <f>'2.2 P&amp;L statement'!D4</f>
        <v>16.148295364999999</v>
      </c>
      <c r="E4" s="56">
        <f>'2.2 P&amp;L statement'!E4</f>
        <v>15.047803019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 x14ac:dyDescent="0.25">
      <c r="A5" s="1"/>
      <c r="B5" s="55" t="s">
        <v>66</v>
      </c>
      <c r="C5" s="56">
        <f>'2.2 P&amp;L statement'!C5</f>
        <v>4.7948561920000001</v>
      </c>
      <c r="D5" s="56">
        <f>'2.2 P&amp;L statement'!D5</f>
        <v>6.9602176449999993</v>
      </c>
      <c r="E5" s="56">
        <f>'2.2 P&amp;L statement'!E5</f>
        <v>6.3736175140000002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</row>
    <row r="6" spans="1:48" x14ac:dyDescent="0.25">
      <c r="A6" s="1"/>
      <c r="B6" s="55" t="s">
        <v>226</v>
      </c>
      <c r="C6" s="56">
        <f>'2.2 P&amp;L statement'!C6</f>
        <v>3.2200542519999997</v>
      </c>
      <c r="D6" s="56">
        <f>'2.2 P&amp;L statement'!D6</f>
        <v>2.9240919949999999</v>
      </c>
      <c r="E6" s="56">
        <f>'2.2 P&amp;L statement'!E6</f>
        <v>4.8931777299999997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</row>
    <row r="7" spans="1:48" x14ac:dyDescent="0.25">
      <c r="A7" s="1"/>
      <c r="B7" s="55" t="s">
        <v>252</v>
      </c>
      <c r="C7" s="58">
        <f>'2.2 P&amp;L statement'!C27</f>
        <v>0.80329281353949789</v>
      </c>
      <c r="D7" s="58">
        <f>'2.2 P&amp;L statement'!D27</f>
        <v>0.79014052477841912</v>
      </c>
      <c r="E7" s="58">
        <f>'2.2 P&amp;L statement'!E27</f>
        <v>0.78437246085651935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</row>
    <row r="8" spans="1:48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</row>
    <row r="9" spans="1:48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</row>
    <row r="10" spans="1:48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</row>
    <row r="11" spans="1:48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</row>
    <row r="12" spans="1:48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</row>
    <row r="13" spans="1:48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</row>
    <row r="14" spans="1:4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</row>
    <row r="15" spans="1:48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</row>
    <row r="16" spans="1:48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</row>
    <row r="17" spans="1:48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</row>
    <row r="18" spans="1:48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</row>
    <row r="19" spans="1:48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</row>
    <row r="20" spans="1:4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</row>
    <row r="21" spans="1:4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</row>
    <row r="22" spans="1:48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</row>
    <row r="23" spans="1:48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</row>
    <row r="24" spans="1:48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</row>
    <row r="25" spans="1:48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</row>
    <row r="26" spans="1:48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</row>
    <row r="27" spans="1:48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</row>
    <row r="28" spans="1:48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</row>
    <row r="29" spans="1:4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</row>
    <row r="30" spans="1:4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</row>
    <row r="31" spans="1:48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</row>
    <row r="32" spans="1:48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</row>
    <row r="33" spans="1:48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</row>
    <row r="34" spans="1:48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</row>
    <row r="35" spans="1:48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</row>
    <row r="36" spans="1:48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</row>
    <row r="37" spans="1:48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</row>
    <row r="38" spans="1:48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R147"/>
  <sheetViews>
    <sheetView workbookViewId="0"/>
  </sheetViews>
  <sheetFormatPr defaultRowHeight="15" x14ac:dyDescent="0.25"/>
  <cols>
    <col min="1" max="1" width="3" customWidth="1"/>
    <col min="2" max="2" width="18.7109375" bestFit="1" customWidth="1"/>
  </cols>
  <sheetData>
    <row r="1" spans="1:18" ht="15.75" x14ac:dyDescent="0.25">
      <c r="A1" s="1"/>
      <c r="B1" s="3" t="s">
        <v>253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ht="15.75" thickBot="1" x14ac:dyDescent="0.3">
      <c r="A4" s="1"/>
      <c r="B4" s="28"/>
      <c r="C4" s="28" t="str">
        <f>'2.2 P&amp;L statement'!C3</f>
        <v>FY2016</v>
      </c>
      <c r="D4" s="28" t="str">
        <f>'2.2 P&amp;L statement'!D3</f>
        <v>FY2017</v>
      </c>
      <c r="E4" s="28" t="str">
        <f>'2.2 P&amp;L statement'!E3</f>
        <v>FY2018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1"/>
      <c r="B5" s="55" t="s">
        <v>222</v>
      </c>
      <c r="C5" s="60">
        <f>'2.2 P&amp;L statement'!C4</f>
        <v>14.500341000000001</v>
      </c>
      <c r="D5" s="60">
        <f>'2.2 P&amp;L statement'!D4</f>
        <v>16.148295364999999</v>
      </c>
      <c r="E5" s="60">
        <f>'2.2 P&amp;L statement'!E4</f>
        <v>15.047803019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1"/>
      <c r="B6" s="55" t="s">
        <v>66</v>
      </c>
      <c r="C6" s="60">
        <f>'2.2 P&amp;L statement'!C5</f>
        <v>4.7948561920000001</v>
      </c>
      <c r="D6" s="60">
        <f>'2.2 P&amp;L statement'!D5</f>
        <v>6.9602176449999993</v>
      </c>
      <c r="E6" s="60">
        <f>'2.2 P&amp;L statement'!E5</f>
        <v>6.3736175140000002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1"/>
      <c r="B7" s="55" t="s">
        <v>226</v>
      </c>
      <c r="C7" s="60">
        <f>'2.2 P&amp;L statement'!C6</f>
        <v>3.2200542519999997</v>
      </c>
      <c r="D7" s="60">
        <f>'2.2 P&amp;L statement'!D6</f>
        <v>2.9240919949999999</v>
      </c>
      <c r="E7" s="60">
        <f>'2.2 P&amp;L statement'!E6</f>
        <v>4.8931777299999997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"/>
      <c r="B8" s="5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1:18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1:18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1:18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1:18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</row>
    <row r="105" spans="1:18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</row>
    <row r="106" spans="1:18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</row>
    <row r="107" spans="1:18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</row>
    <row r="108" spans="1:18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</row>
    <row r="109" spans="1:18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</row>
    <row r="110" spans="1:18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</row>
    <row r="111" spans="1:18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</row>
    <row r="112" spans="1:18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</row>
    <row r="113" spans="1:18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</row>
    <row r="114" spans="1:18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</row>
    <row r="115" spans="1:18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</row>
    <row r="116" spans="1:18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</row>
    <row r="117" spans="1:18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1:18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T53"/>
  <sheetViews>
    <sheetView workbookViewId="0"/>
  </sheetViews>
  <sheetFormatPr defaultRowHeight="15" x14ac:dyDescent="0.25"/>
  <cols>
    <col min="1" max="1" width="3.140625" customWidth="1"/>
    <col min="2" max="2" width="20.28515625" bestFit="1" customWidth="1"/>
  </cols>
  <sheetData>
    <row r="1" spans="1:20" ht="15.75" x14ac:dyDescent="0.25">
      <c r="A1" s="1"/>
      <c r="B1" s="3" t="s">
        <v>254</v>
      </c>
      <c r="C1" s="2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/>
      <c r="B2" s="2"/>
      <c r="C2" s="2"/>
      <c r="D2" s="2"/>
      <c r="E2" s="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15.75" thickBot="1" x14ac:dyDescent="0.3">
      <c r="A3" s="1"/>
      <c r="B3" s="28"/>
      <c r="C3" s="29" t="str">
        <f>'2.2 P&amp;L statement'!C3</f>
        <v>FY2016</v>
      </c>
      <c r="D3" s="29" t="str">
        <f>'2.2 P&amp;L statement'!D3</f>
        <v>FY2017</v>
      </c>
      <c r="E3" s="29" t="str">
        <f>'2.2 P&amp;L statement'!E3</f>
        <v>FY2018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25">
      <c r="A4" s="1"/>
      <c r="B4" s="55" t="s">
        <v>255</v>
      </c>
      <c r="C4" s="62">
        <f>'2.2 P&amp;L statement'!C7</f>
        <v>22.515251444</v>
      </c>
      <c r="D4" s="62">
        <f>'2.2 P&amp;L statement'!D7</f>
        <v>26.032605005000001</v>
      </c>
      <c r="E4" s="62">
        <f>'2.2 P&amp;L statement'!E7</f>
        <v>26.314598263000001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5">
      <c r="A5" s="1"/>
      <c r="B5" s="2" t="s">
        <v>252</v>
      </c>
      <c r="C5" s="61">
        <f>'2.2 P&amp;L statement'!C27</f>
        <v>0.80329281353949789</v>
      </c>
      <c r="D5" s="61">
        <f>'2.2 P&amp;L statement'!D27</f>
        <v>0.79014052477841912</v>
      </c>
      <c r="E5" s="61">
        <f>'2.2 P&amp;L statement'!E27</f>
        <v>0.78437246085651935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R146"/>
  <sheetViews>
    <sheetView workbookViewId="0"/>
  </sheetViews>
  <sheetFormatPr defaultRowHeight="15" x14ac:dyDescent="0.25"/>
  <cols>
    <col min="1" max="1" width="2" customWidth="1"/>
    <col min="2" max="2" width="21.7109375" bestFit="1" customWidth="1"/>
  </cols>
  <sheetData>
    <row r="1" spans="1:18" ht="15.75" x14ac:dyDescent="0.25">
      <c r="A1" s="1"/>
      <c r="B1" s="52" t="s">
        <v>250</v>
      </c>
      <c r="C1" s="39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1"/>
      <c r="B2" s="39"/>
      <c r="C2" s="39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1"/>
      <c r="B3" s="39"/>
      <c r="C3" s="39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1"/>
      <c r="B4" s="39" t="s">
        <v>222</v>
      </c>
      <c r="C4" s="53">
        <v>14.5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1"/>
      <c r="B5" s="39" t="s">
        <v>104</v>
      </c>
      <c r="C5" s="53">
        <v>-4.4000000000000004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1"/>
      <c r="B6" s="39" t="s">
        <v>224</v>
      </c>
      <c r="C6" s="53">
        <v>-3.3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1"/>
      <c r="B7" s="39" t="s">
        <v>225</v>
      </c>
      <c r="C7" s="53">
        <v>-6.1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"/>
      <c r="B8" s="39" t="s">
        <v>74</v>
      </c>
      <c r="C8" s="53">
        <v>0.3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1"/>
      <c r="B9" s="39" t="s">
        <v>238</v>
      </c>
      <c r="C9" s="54">
        <f>SUM(C4:C8)</f>
        <v>1.0000000000000002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1:18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1:18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1:18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1:18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</row>
    <row r="105" spans="1:18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</row>
    <row r="106" spans="1:18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</row>
    <row r="107" spans="1:18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</row>
    <row r="108" spans="1:18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</row>
    <row r="109" spans="1:18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</row>
    <row r="110" spans="1:18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</row>
    <row r="111" spans="1:18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</row>
    <row r="112" spans="1:18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</row>
    <row r="113" spans="1:18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</row>
    <row r="114" spans="1:18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</row>
    <row r="115" spans="1:18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</row>
    <row r="116" spans="1:18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</row>
    <row r="117" spans="1:18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2022-07-29T09:33:39Z</dcterms:modified>
</cp:coreProperties>
</file>